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学习\兴趣\mbti\"/>
    </mc:Choice>
  </mc:AlternateContent>
  <xr:revisionPtr revIDLastSave="0" documentId="13_ncr:1_{F065AB26-F5D9-4DDF-856E-CE07790D1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Sheet1!$C$2:$C$57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5" i="1"/>
  <c r="K4" i="1"/>
  <c r="K7" i="1"/>
  <c r="K8" i="1"/>
  <c r="K9" i="1"/>
  <c r="K10" i="1"/>
  <c r="K14" i="1"/>
  <c r="K13" i="1"/>
  <c r="K12" i="1"/>
  <c r="K15" i="1"/>
  <c r="K17" i="1"/>
  <c r="K18" i="1"/>
  <c r="K20" i="1"/>
  <c r="K19" i="1"/>
  <c r="K2" i="1"/>
  <c r="S31" i="1"/>
  <c r="S29" i="1"/>
  <c r="S28" i="1"/>
  <c r="S26" i="1"/>
  <c r="S32" i="1"/>
  <c r="S27" i="1"/>
  <c r="S30" i="1"/>
  <c r="S25" i="1"/>
  <c r="O39" i="1"/>
  <c r="AL8" i="1" s="1"/>
  <c r="O40" i="1"/>
  <c r="AL9" i="1" s="1"/>
  <c r="O37" i="1"/>
  <c r="AL7" i="1" s="1"/>
  <c r="O36" i="1"/>
  <c r="AL6" i="1" s="1"/>
  <c r="O34" i="1"/>
  <c r="AL5" i="1" s="1"/>
  <c r="O33" i="1"/>
  <c r="AL4" i="1" s="1"/>
  <c r="O31" i="1"/>
  <c r="AL3" i="1" s="1"/>
  <c r="O30" i="1"/>
  <c r="AL2" i="1" s="1"/>
  <c r="O28" i="1"/>
  <c r="O27" i="1"/>
  <c r="O26" i="1"/>
  <c r="O25" i="1"/>
  <c r="AA6" i="1"/>
  <c r="AA5" i="1"/>
  <c r="AA4" i="1"/>
  <c r="AA3" i="1"/>
  <c r="AA2" i="1"/>
  <c r="M22" i="1"/>
  <c r="M45" i="1"/>
  <c r="AP2" i="1"/>
  <c r="AO2" i="1"/>
  <c r="X17" i="1"/>
  <c r="X12" i="1"/>
  <c r="X7" i="1"/>
  <c r="X2" i="1"/>
  <c r="X36" i="1"/>
  <c r="Y25" i="1" s="1"/>
  <c r="K22" i="1" l="1"/>
  <c r="S33" i="1"/>
  <c r="AH5" i="1"/>
  <c r="Y26" i="1"/>
  <c r="Y28" i="1"/>
  <c r="Y29" i="1"/>
  <c r="Y30" i="1"/>
  <c r="Y31" i="1"/>
  <c r="Y27" i="1"/>
  <c r="AO7" i="1"/>
  <c r="AO3" i="1" s="1"/>
  <c r="Y32" i="1"/>
  <c r="Y33" i="1"/>
  <c r="I33" i="1" a="1"/>
  <c r="I33" i="1" s="1"/>
  <c r="I39" i="1" a="1"/>
  <c r="I39" i="1" s="1"/>
  <c r="I36" i="1" a="1"/>
  <c r="I36" i="1" s="1"/>
  <c r="I32" i="1" a="1"/>
  <c r="I32" i="1" s="1"/>
  <c r="I29" i="1" a="1"/>
  <c r="I29" i="1" s="1"/>
  <c r="I27" i="1" a="1"/>
  <c r="I27" i="1" s="1"/>
  <c r="I26" i="1" a="1"/>
  <c r="I26" i="1" s="1"/>
  <c r="I38" i="1" a="1"/>
  <c r="I38" i="1" s="1"/>
  <c r="I35" i="1" a="1"/>
  <c r="I35" i="1" s="1"/>
  <c r="I31" i="1" a="1"/>
  <c r="I31" i="1" s="1"/>
  <c r="I28" i="1" a="1"/>
  <c r="I28" i="1" s="1"/>
  <c r="I25" i="1" a="1"/>
  <c r="I25" i="1" s="1"/>
  <c r="I37" i="1" a="1"/>
  <c r="I37" i="1" s="1"/>
  <c r="I34" i="1" a="1"/>
  <c r="I34" i="1" s="1"/>
  <c r="I30" i="1" a="1"/>
  <c r="I30" i="1" s="1"/>
  <c r="I40" i="1" a="1"/>
  <c r="I40" i="1" s="1"/>
  <c r="AH12" i="1"/>
  <c r="AH9" i="1"/>
  <c r="AH11" i="1"/>
  <c r="AH2" i="1"/>
  <c r="V7" i="1"/>
  <c r="AH3" i="1"/>
  <c r="AH6" i="1"/>
  <c r="AH8" i="1"/>
  <c r="V12" i="1"/>
  <c r="V17" i="1"/>
  <c r="N18" i="1" s="1"/>
  <c r="V2" i="1"/>
  <c r="AI5" i="1"/>
  <c r="AK4" i="1" s="1"/>
  <c r="AM4" i="1" s="1"/>
  <c r="AH16" i="1" s="1"/>
  <c r="L5" i="1" l="1"/>
  <c r="N10" i="1"/>
  <c r="Z3" i="1"/>
  <c r="AB3" i="1" s="1"/>
  <c r="AE3" i="1" s="1"/>
  <c r="W7" i="1"/>
  <c r="N2" i="1"/>
  <c r="Z2" i="1"/>
  <c r="Z5" i="1"/>
  <c r="AB5" i="1" s="1"/>
  <c r="AE5" i="1" s="1"/>
  <c r="N12" i="1"/>
  <c r="Z4" i="1"/>
  <c r="AB4" i="1" s="1"/>
  <c r="AE4" i="1" s="1"/>
  <c r="AP3" i="1"/>
  <c r="AI8" i="1"/>
  <c r="AK6" i="1" s="1"/>
  <c r="AM6" i="1" s="1"/>
  <c r="AH18" i="1" s="1"/>
  <c r="AI6" i="1"/>
  <c r="AK5" i="1" s="1"/>
  <c r="AM5" i="1" s="1"/>
  <c r="AH17" i="1" s="1"/>
  <c r="O8" i="1"/>
  <c r="AI3" i="1"/>
  <c r="AK3" i="1" s="1"/>
  <c r="AM3" i="1" s="1"/>
  <c r="AH15" i="1" s="1"/>
  <c r="P13" i="1"/>
  <c r="O9" i="1"/>
  <c r="AI2" i="1"/>
  <c r="AK2" i="1" s="1"/>
  <c r="AM2" i="1" s="1"/>
  <c r="AH14" i="1" s="1"/>
  <c r="R2" i="1"/>
  <c r="AI11" i="1"/>
  <c r="AK8" i="1" s="1"/>
  <c r="AM8" i="1" s="1"/>
  <c r="AH20" i="1" s="1"/>
  <c r="Q20" i="1"/>
  <c r="AI9" i="1"/>
  <c r="AK7" i="1" s="1"/>
  <c r="AM7" i="1" s="1"/>
  <c r="AH19" i="1" s="1"/>
  <c r="R3" i="1"/>
  <c r="AI12" i="1"/>
  <c r="AK9" i="1" s="1"/>
  <c r="AM9" i="1" s="1"/>
  <c r="AH21" i="1" s="1"/>
  <c r="R18" i="1"/>
  <c r="R4" i="1"/>
  <c r="Q10" i="1"/>
  <c r="R19" i="1"/>
  <c r="R15" i="1"/>
  <c r="R20" i="1"/>
  <c r="Q8" i="1"/>
  <c r="Q18" i="1"/>
  <c r="Q9" i="1"/>
  <c r="R13" i="1"/>
  <c r="Q15" i="1"/>
  <c r="P20" i="1"/>
  <c r="R14" i="1"/>
  <c r="R5" i="1"/>
  <c r="O2" i="1"/>
  <c r="R17" i="1"/>
  <c r="P19" i="1"/>
  <c r="P18" i="1"/>
  <c r="Q13" i="1"/>
  <c r="R12" i="1"/>
  <c r="R9" i="1"/>
  <c r="P17" i="1"/>
  <c r="R7" i="1"/>
  <c r="R10" i="1"/>
  <c r="R8" i="1"/>
  <c r="Q7" i="1"/>
  <c r="P12" i="1"/>
  <c r="P15" i="1"/>
  <c r="P14" i="1"/>
  <c r="Q14" i="1"/>
  <c r="Q19" i="1"/>
  <c r="Q17" i="1"/>
  <c r="Q12" i="1"/>
  <c r="Q2" i="1"/>
  <c r="Q3" i="1"/>
  <c r="Q5" i="1"/>
  <c r="Q4" i="1"/>
  <c r="P2" i="1"/>
  <c r="P7" i="1"/>
  <c r="P9" i="1"/>
  <c r="P8" i="1"/>
  <c r="P10" i="1"/>
  <c r="P5" i="1"/>
  <c r="P3" i="1"/>
  <c r="P4" i="1"/>
  <c r="O4" i="1"/>
  <c r="N15" i="1"/>
  <c r="N19" i="1"/>
  <c r="O14" i="1"/>
  <c r="N14" i="1"/>
  <c r="O19" i="1"/>
  <c r="O20" i="1"/>
  <c r="N13" i="1"/>
  <c r="O10" i="1"/>
  <c r="O5" i="1"/>
  <c r="O15" i="1"/>
  <c r="O12" i="1"/>
  <c r="N9" i="1"/>
  <c r="N8" i="1"/>
  <c r="O3" i="1"/>
  <c r="N7" i="1"/>
  <c r="O7" i="1"/>
  <c r="O17" i="1"/>
  <c r="O18" i="1"/>
  <c r="O13" i="1"/>
  <c r="N20" i="1"/>
  <c r="N17" i="1"/>
  <c r="N3" i="1"/>
  <c r="N5" i="1"/>
  <c r="N4" i="1"/>
  <c r="L9" i="1"/>
  <c r="W17" i="1"/>
  <c r="W12" i="1"/>
  <c r="W2" i="1"/>
  <c r="L2" i="1"/>
  <c r="L8" i="1"/>
  <c r="L4" i="1"/>
  <c r="L20" i="1"/>
  <c r="L3" i="1"/>
  <c r="L18" i="1"/>
  <c r="L19" i="1"/>
  <c r="L17" i="1"/>
  <c r="L15" i="1"/>
  <c r="L14" i="1"/>
  <c r="L13" i="1"/>
  <c r="L12" i="1"/>
  <c r="L10" i="1"/>
  <c r="L7" i="1"/>
  <c r="T3" i="1" s="1"/>
  <c r="T8" i="1" l="1"/>
  <c r="J25" i="1" a="1"/>
  <c r="P26" i="1" s="1"/>
  <c r="T7" i="1"/>
  <c r="AB2" i="1"/>
  <c r="Z6" i="1"/>
  <c r="L22" i="1" a="1"/>
  <c r="L22" i="1" s="1"/>
  <c r="T9" i="1"/>
  <c r="T2" i="1"/>
  <c r="T4" i="1"/>
  <c r="T5" i="1"/>
  <c r="T6" i="1"/>
  <c r="AJ14" i="1" a="1"/>
  <c r="AJ14" i="1" s="1"/>
  <c r="P36" i="1" l="1"/>
  <c r="H84" i="1" s="1"/>
  <c r="P38" i="1"/>
  <c r="H86" i="1" s="1"/>
  <c r="P33" i="1"/>
  <c r="H81" i="1" s="1"/>
  <c r="P39" i="1"/>
  <c r="H87" i="1" s="1"/>
  <c r="P28" i="1"/>
  <c r="H76" i="1" s="1"/>
  <c r="P34" i="1"/>
  <c r="H82" i="1" s="1"/>
  <c r="P27" i="1"/>
  <c r="H75" i="1" s="1"/>
  <c r="P37" i="1"/>
  <c r="H85" i="1" s="1"/>
  <c r="P29" i="1"/>
  <c r="H77" i="1" s="1"/>
  <c r="P30" i="1"/>
  <c r="H78" i="1" s="1"/>
  <c r="P32" i="1"/>
  <c r="H80" i="1" s="1"/>
  <c r="P25" i="1"/>
  <c r="H73" i="1" s="1"/>
  <c r="J25" i="1"/>
  <c r="G73" i="1" s="1"/>
  <c r="P40" i="1"/>
  <c r="H88" i="1" s="1"/>
  <c r="P35" i="1"/>
  <c r="H83" i="1" s="1"/>
  <c r="P31" i="1"/>
  <c r="H79" i="1" s="1"/>
  <c r="AE2" i="1"/>
  <c r="AD7" i="1" s="1" a="1"/>
  <c r="AD7" i="1" s="1"/>
  <c r="AB6" i="1"/>
  <c r="S12" i="1" a="1"/>
  <c r="T30" i="1" s="1"/>
  <c r="T10" i="1"/>
  <c r="G74" i="1"/>
  <c r="G88" i="1"/>
  <c r="G87" i="1"/>
  <c r="H74" i="1"/>
  <c r="G86" i="1"/>
  <c r="G85" i="1"/>
  <c r="G84" i="1"/>
  <c r="G83" i="1"/>
  <c r="G82" i="1"/>
  <c r="G81" i="1"/>
  <c r="G80" i="1"/>
  <c r="G79" i="1"/>
  <c r="G78" i="1"/>
  <c r="G77" i="1"/>
  <c r="G76" i="1"/>
  <c r="G75" i="1"/>
  <c r="L45" i="1"/>
  <c r="S12" i="1" l="1"/>
  <c r="T26" i="1"/>
  <c r="U26" i="1" s="1"/>
  <c r="S36" i="1" s="1"/>
  <c r="T31" i="1"/>
  <c r="U31" i="1" s="1"/>
  <c r="S41" i="1" s="1"/>
  <c r="T25" i="1"/>
  <c r="T32" i="1"/>
  <c r="U32" i="1" s="1"/>
  <c r="S42" i="1" s="1"/>
  <c r="T27" i="1"/>
  <c r="U27" i="1" s="1"/>
  <c r="S37" i="1" s="1"/>
  <c r="T28" i="1"/>
  <c r="U28" i="1" s="1"/>
  <c r="S38" i="1" s="1"/>
  <c r="T29" i="1"/>
  <c r="U29" i="1" s="1"/>
  <c r="S39" i="1" s="1"/>
  <c r="U30" i="1"/>
  <c r="S40" i="1" s="1"/>
  <c r="J73" i="1" a="1"/>
  <c r="J73" i="1" s="1"/>
  <c r="U25" i="1" l="1"/>
  <c r="S35" i="1" s="1"/>
  <c r="S43" i="1" s="1"/>
  <c r="T33" i="1"/>
  <c r="U33" i="1" s="1"/>
  <c r="T35" i="1" l="1" a="1"/>
  <c r="T3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<sst xmlns="http://schemas.openxmlformats.org/spreadsheetml/2006/main" count="1516" uniqueCount="595">
  <si>
    <t>ID</t>
    <phoneticPr fontId="1" type="noConversion"/>
  </si>
  <si>
    <t>mbti</t>
    <phoneticPr fontId="1" type="noConversion"/>
  </si>
  <si>
    <t>ENFP</t>
    <phoneticPr fontId="1" type="noConversion"/>
  </si>
  <si>
    <t>INFP</t>
    <phoneticPr fontId="1" type="noConversion"/>
  </si>
  <si>
    <t>ISFJ</t>
    <phoneticPr fontId="1" type="noConversion"/>
  </si>
  <si>
    <t>furami123</t>
    <phoneticPr fontId="1" type="noConversion"/>
  </si>
  <si>
    <t>中国</t>
    <phoneticPr fontId="1" type="noConversion"/>
  </si>
  <si>
    <t>ISTJ</t>
    <phoneticPr fontId="1" type="noConversion"/>
  </si>
  <si>
    <t>white39</t>
    <phoneticPr fontId="1" type="noConversion"/>
  </si>
  <si>
    <t>ESFP</t>
    <phoneticPr fontId="1" type="noConversion"/>
  </si>
  <si>
    <t>Ferryy</t>
    <phoneticPr fontId="1" type="noConversion"/>
  </si>
  <si>
    <t>ENTP</t>
    <phoneticPr fontId="1" type="noConversion"/>
  </si>
  <si>
    <t>Zed</t>
    <phoneticPr fontId="1" type="noConversion"/>
  </si>
  <si>
    <t>INTJ</t>
    <phoneticPr fontId="1" type="noConversion"/>
  </si>
  <si>
    <t>Wangring</t>
    <phoneticPr fontId="1" type="noConversion"/>
  </si>
  <si>
    <t>?</t>
    <phoneticPr fontId="1" type="noConversion"/>
  </si>
  <si>
    <t>ESFP</t>
    <phoneticPr fontId="1" type="noConversion"/>
  </si>
  <si>
    <t>INTP</t>
    <phoneticPr fontId="1" type="noConversion"/>
  </si>
  <si>
    <t>ENTJ</t>
    <phoneticPr fontId="1" type="noConversion"/>
  </si>
  <si>
    <t>RAI-Thomas</t>
    <phoneticPr fontId="1" type="noConversion"/>
  </si>
  <si>
    <t>INFJ</t>
    <phoneticPr fontId="1" type="noConversion"/>
  </si>
  <si>
    <t>Ash-788</t>
    <phoneticPr fontId="1" type="noConversion"/>
  </si>
  <si>
    <t>ESTJ</t>
    <phoneticPr fontId="1" type="noConversion"/>
  </si>
  <si>
    <t>Blue-lanser</t>
    <phoneticPr fontId="1" type="noConversion"/>
  </si>
  <si>
    <t>NemiimioO</t>
    <phoneticPr fontId="1" type="noConversion"/>
  </si>
  <si>
    <t>Fanyac</t>
    <phoneticPr fontId="1" type="noConversion"/>
  </si>
  <si>
    <t>ISFP</t>
    <phoneticPr fontId="1" type="noConversion"/>
  </si>
  <si>
    <t>Mike</t>
    <phoneticPr fontId="1" type="noConversion"/>
  </si>
  <si>
    <t>ENFJ</t>
    <phoneticPr fontId="1" type="noConversion"/>
  </si>
  <si>
    <t>Fok my life</t>
    <phoneticPr fontId="1" type="noConversion"/>
  </si>
  <si>
    <t>Aomei</t>
    <phoneticPr fontId="1" type="noConversion"/>
  </si>
  <si>
    <t>MG</t>
    <phoneticPr fontId="1" type="noConversion"/>
  </si>
  <si>
    <t>Akino</t>
    <phoneticPr fontId="1" type="noConversion"/>
  </si>
  <si>
    <t>lala</t>
    <phoneticPr fontId="1" type="noConversion"/>
  </si>
  <si>
    <t>TTE9--Koharu</t>
    <phoneticPr fontId="1" type="noConversion"/>
  </si>
  <si>
    <t>Ebiteneten</t>
    <phoneticPr fontId="1" type="noConversion"/>
  </si>
  <si>
    <t>sngsng2156</t>
    <phoneticPr fontId="1" type="noConversion"/>
  </si>
  <si>
    <t>Rain Blaze</t>
    <phoneticPr fontId="1" type="noConversion"/>
  </si>
  <si>
    <t>Yuzumi</t>
    <phoneticPr fontId="1" type="noConversion"/>
  </si>
  <si>
    <t>GANLERRR</t>
    <phoneticPr fontId="1" type="noConversion"/>
  </si>
  <si>
    <t>EE82EE</t>
    <phoneticPr fontId="1" type="noConversion"/>
  </si>
  <si>
    <t>Fanya-C</t>
    <phoneticPr fontId="1" type="noConversion"/>
  </si>
  <si>
    <t>KanoDoes Music</t>
    <phoneticPr fontId="1" type="noConversion"/>
  </si>
  <si>
    <t>Y5C4L3</t>
    <phoneticPr fontId="1" type="noConversion"/>
  </si>
  <si>
    <t>ISTP</t>
    <phoneticPr fontId="1" type="noConversion"/>
  </si>
  <si>
    <t>Warbeb</t>
    <phoneticPr fontId="1" type="noConversion"/>
  </si>
  <si>
    <t>J1awen</t>
    <phoneticPr fontId="1" type="noConversion"/>
  </si>
  <si>
    <t>OJG-KATSU</t>
    <phoneticPr fontId="1" type="noConversion"/>
  </si>
  <si>
    <t>ESTP</t>
    <phoneticPr fontId="1" type="noConversion"/>
  </si>
  <si>
    <t>yoshi</t>
    <phoneticPr fontId="1" type="noConversion"/>
  </si>
  <si>
    <t>Cierra</t>
    <phoneticPr fontId="1" type="noConversion"/>
  </si>
  <si>
    <t>hoshino-xy</t>
    <phoneticPr fontId="1" type="noConversion"/>
  </si>
  <si>
    <t>Hiroshi</t>
    <phoneticPr fontId="1" type="noConversion"/>
  </si>
  <si>
    <t>Sarah-M</t>
    <phoneticPr fontId="1" type="noConversion"/>
  </si>
  <si>
    <t>Alice</t>
    <phoneticPr fontId="1" type="noConversion"/>
  </si>
  <si>
    <t>wumingshin021</t>
    <phoneticPr fontId="1" type="noConversion"/>
  </si>
  <si>
    <t>mikuban''</t>
    <phoneticPr fontId="1" type="noConversion"/>
  </si>
  <si>
    <t>Amano Yukiteru</t>
    <phoneticPr fontId="1" type="noConversion"/>
  </si>
  <si>
    <t>RaidonScara</t>
    <phoneticPr fontId="1" type="noConversion"/>
  </si>
  <si>
    <t>MungbeanOuO</t>
    <phoneticPr fontId="1" type="noConversion"/>
  </si>
  <si>
    <t>A</t>
    <phoneticPr fontId="1" type="noConversion"/>
  </si>
  <si>
    <t>Siel</t>
    <phoneticPr fontId="1" type="noConversion"/>
  </si>
  <si>
    <t>——T</t>
    <phoneticPr fontId="1" type="noConversion"/>
  </si>
  <si>
    <t>KonoYuuki</t>
    <phoneticPr fontId="1" type="noConversion"/>
  </si>
  <si>
    <t>skeleton</t>
    <phoneticPr fontId="1" type="noConversion"/>
  </si>
  <si>
    <t>sakuyai</t>
    <phoneticPr fontId="1" type="noConversion"/>
  </si>
  <si>
    <t>Synderelly</t>
    <phoneticPr fontId="1" type="noConversion"/>
  </si>
  <si>
    <t>ESFJ</t>
    <phoneticPr fontId="1" type="noConversion"/>
  </si>
  <si>
    <r>
      <rPr>
        <sz val="10"/>
        <color theme="1"/>
        <rFont val="Microsoft YaHei"/>
        <family val="2"/>
        <charset val="134"/>
      </rPr>
      <t>性别</t>
    </r>
    <phoneticPr fontId="1" type="noConversion"/>
  </si>
  <si>
    <r>
      <rPr>
        <sz val="10"/>
        <color theme="1"/>
        <rFont val="Microsoft YaHei"/>
        <family val="2"/>
        <charset val="134"/>
      </rPr>
      <t>国家</t>
    </r>
    <phoneticPr fontId="1" type="noConversion"/>
  </si>
  <si>
    <r>
      <rPr>
        <sz val="10"/>
        <color theme="1"/>
        <rFont val="Microsoft YaHei"/>
        <family val="2"/>
        <charset val="134"/>
      </rPr>
      <t>备注</t>
    </r>
    <phoneticPr fontId="1" type="noConversion"/>
  </si>
  <si>
    <r>
      <rPr>
        <sz val="10"/>
        <color theme="1"/>
        <rFont val="Microsoft YaHei"/>
        <family val="2"/>
        <charset val="134"/>
      </rPr>
      <t>？</t>
    </r>
    <phoneticPr fontId="1" type="noConversion"/>
  </si>
  <si>
    <r>
      <rPr>
        <sz val="10"/>
        <color theme="1"/>
        <rFont val="Microsoft YaHei"/>
        <family val="2"/>
        <charset val="134"/>
      </rPr>
      <t>中国</t>
    </r>
    <phoneticPr fontId="1" type="noConversion"/>
  </si>
  <si>
    <r>
      <rPr>
        <sz val="10"/>
        <color theme="1"/>
        <rFont val="Microsoft YaHei"/>
        <family val="2"/>
        <charset val="134"/>
      </rPr>
      <t>男</t>
    </r>
    <phoneticPr fontId="1" type="noConversion"/>
  </si>
  <si>
    <r>
      <rPr>
        <sz val="10"/>
        <color theme="1"/>
        <rFont val="Microsoft YaHei"/>
        <family val="2"/>
        <charset val="134"/>
      </rPr>
      <t>墨西哥</t>
    </r>
    <phoneticPr fontId="1" type="noConversion"/>
  </si>
  <si>
    <r>
      <rPr>
        <sz val="10"/>
        <color theme="1"/>
        <rFont val="Microsoft YaHei"/>
        <family val="2"/>
        <charset val="134"/>
      </rPr>
      <t>皮蛋青菜粥</t>
    </r>
    <phoneticPr fontId="1" type="noConversion"/>
  </si>
  <si>
    <r>
      <rPr>
        <sz val="10"/>
        <color theme="1"/>
        <rFont val="Microsoft YaHei"/>
        <family val="2"/>
        <charset val="134"/>
      </rPr>
      <t>夏夏</t>
    </r>
    <phoneticPr fontId="1" type="noConversion"/>
  </si>
  <si>
    <r>
      <rPr>
        <sz val="10"/>
        <color theme="1"/>
        <rFont val="Microsoft YaHei"/>
        <family val="2"/>
        <charset val="134"/>
      </rPr>
      <t>番茄炒蛋</t>
    </r>
    <phoneticPr fontId="1" type="noConversion"/>
  </si>
  <si>
    <r>
      <rPr>
        <sz val="10"/>
        <color theme="1"/>
        <rFont val="Microsoft YaHei"/>
        <family val="2"/>
        <charset val="134"/>
      </rPr>
      <t>日本</t>
    </r>
    <phoneticPr fontId="1" type="noConversion"/>
  </si>
  <si>
    <r>
      <rPr>
        <sz val="10"/>
        <color theme="1"/>
        <rFont val="Microsoft YaHei"/>
        <family val="2"/>
        <charset val="134"/>
      </rPr>
      <t>中国台湾</t>
    </r>
    <phoneticPr fontId="1" type="noConversion"/>
  </si>
  <si>
    <r>
      <rPr>
        <sz val="10"/>
        <color theme="1"/>
        <rFont val="Microsoft YaHei"/>
        <family val="2"/>
        <charset val="134"/>
      </rPr>
      <t>小稳流星</t>
    </r>
    <phoneticPr fontId="1" type="noConversion"/>
  </si>
  <si>
    <r>
      <rPr>
        <sz val="10"/>
        <color theme="1"/>
        <rFont val="Microsoft YaHei"/>
        <family val="2"/>
        <charset val="134"/>
      </rPr>
      <t>中国</t>
    </r>
  </si>
  <si>
    <r>
      <rPr>
        <sz val="10"/>
        <color theme="1"/>
        <rFont val="Microsoft YaHei"/>
        <family val="2"/>
        <charset val="134"/>
      </rPr>
      <t>美国</t>
    </r>
    <phoneticPr fontId="1" type="noConversion"/>
  </si>
  <si>
    <r>
      <t>Naka</t>
    </r>
    <r>
      <rPr>
        <sz val="10"/>
        <color theme="1"/>
        <rFont val="Microsoft YaHei"/>
        <family val="2"/>
        <charset val="134"/>
      </rPr>
      <t>说到点了该打郊了</t>
    </r>
    <phoneticPr fontId="1" type="noConversion"/>
  </si>
  <si>
    <r>
      <rPr>
        <sz val="10"/>
        <color theme="1"/>
        <rFont val="Microsoft YaHei"/>
        <family val="2"/>
        <charset val="134"/>
      </rPr>
      <t>じえんちやん女</t>
    </r>
    <phoneticPr fontId="1" type="noConversion"/>
  </si>
  <si>
    <r>
      <rPr>
        <sz val="10"/>
        <color theme="1"/>
        <rFont val="Microsoft YaHei"/>
        <family val="2"/>
        <charset val="134"/>
      </rPr>
      <t>女</t>
    </r>
    <phoneticPr fontId="1" type="noConversion"/>
  </si>
  <si>
    <r>
      <rPr>
        <sz val="10"/>
        <color theme="1"/>
        <rFont val="Microsoft YaHei"/>
        <family val="2"/>
        <charset val="134"/>
      </rPr>
      <t>凌晨出没、学习爱好者</t>
    </r>
    <phoneticPr fontId="1" type="noConversion"/>
  </si>
  <si>
    <r>
      <rPr>
        <sz val="10"/>
        <color theme="1"/>
        <rFont val="Microsoft YaHei"/>
        <family val="2"/>
        <charset val="134"/>
      </rPr>
      <t>英语</t>
    </r>
    <phoneticPr fontId="1" type="noConversion"/>
  </si>
  <si>
    <r>
      <rPr>
        <sz val="10"/>
        <color theme="1"/>
        <rFont val="Microsoft YaHei"/>
        <family val="2"/>
        <charset val="134"/>
      </rPr>
      <t>总计</t>
    </r>
    <phoneticPr fontId="1" type="noConversion"/>
  </si>
  <si>
    <r>
      <rPr>
        <sz val="10"/>
        <color theme="1"/>
        <rFont val="Microsoft YaHei"/>
        <family val="2"/>
        <charset val="134"/>
      </rPr>
      <t>凌晨出没、</t>
    </r>
    <phoneticPr fontId="1" type="noConversion"/>
  </si>
  <si>
    <r>
      <rPr>
        <sz val="10"/>
        <color theme="1"/>
        <rFont val="Microsoft YaHei"/>
        <family val="2"/>
        <charset val="134"/>
      </rPr>
      <t>伊凡</t>
    </r>
    <phoneticPr fontId="1" type="noConversion"/>
  </si>
  <si>
    <r>
      <rPr>
        <sz val="10"/>
        <color theme="1"/>
        <rFont val="Microsoft YaHei"/>
        <family val="2"/>
        <charset val="134"/>
      </rPr>
      <t>樱岛希萘</t>
    </r>
    <phoneticPr fontId="1" type="noConversion"/>
  </si>
  <si>
    <r>
      <t>shy-boy-</t>
    </r>
    <r>
      <rPr>
        <sz val="10"/>
        <color theme="1"/>
        <rFont val="Microsoft YaHei"/>
        <family val="2"/>
        <charset val="134"/>
      </rPr>
      <t>树</t>
    </r>
    <phoneticPr fontId="1" type="noConversion"/>
  </si>
  <si>
    <r>
      <rPr>
        <sz val="10"/>
        <color theme="1"/>
        <rFont val="Microsoft YaHei"/>
        <family val="2"/>
        <charset val="134"/>
      </rPr>
      <t>染凉</t>
    </r>
    <phoneticPr fontId="1" type="noConversion"/>
  </si>
  <si>
    <r>
      <rPr>
        <sz val="10"/>
        <color theme="1"/>
        <rFont val="Microsoft YaHei"/>
        <family val="2"/>
        <charset val="134"/>
      </rPr>
      <t>午夜心碎小狗</t>
    </r>
    <phoneticPr fontId="1" type="noConversion"/>
  </si>
  <si>
    <r>
      <rPr>
        <sz val="10"/>
        <color theme="1"/>
        <rFont val="Microsoft YaHei"/>
        <family val="2"/>
        <charset val="134"/>
      </rPr>
      <t>白狐仙</t>
    </r>
    <phoneticPr fontId="1" type="noConversion"/>
  </si>
  <si>
    <r>
      <t>Fish</t>
    </r>
    <r>
      <rPr>
        <sz val="10"/>
        <color theme="1"/>
        <rFont val="Microsoft YaHei"/>
        <family val="2"/>
        <charset val="134"/>
      </rPr>
      <t>肥鱼</t>
    </r>
    <phoneticPr fontId="1" type="noConversion"/>
  </si>
  <si>
    <r>
      <rPr>
        <sz val="10"/>
        <color theme="1"/>
        <rFont val="Microsoft YaHei"/>
        <family val="2"/>
        <charset val="134"/>
      </rPr>
      <t>睡着时不困</t>
    </r>
    <phoneticPr fontId="1" type="noConversion"/>
  </si>
  <si>
    <r>
      <rPr>
        <sz val="10"/>
        <color theme="1"/>
        <rFont val="Microsoft YaHei"/>
        <family val="2"/>
        <charset val="134"/>
      </rPr>
      <t>马来西亚</t>
    </r>
    <phoneticPr fontId="1" type="noConversion"/>
  </si>
  <si>
    <r>
      <rPr>
        <sz val="10"/>
        <color theme="1"/>
        <rFont val="Microsoft YaHei"/>
        <family val="2"/>
        <charset val="134"/>
      </rPr>
      <t>答案是希腊奶</t>
    </r>
    <phoneticPr fontId="1" type="noConversion"/>
  </si>
  <si>
    <r>
      <rPr>
        <sz val="10"/>
        <color theme="1"/>
        <rFont val="Microsoft YaHei"/>
        <family val="2"/>
        <charset val="134"/>
      </rPr>
      <t>蓝莓不怕冷</t>
    </r>
    <phoneticPr fontId="1" type="noConversion"/>
  </si>
  <si>
    <r>
      <rPr>
        <sz val="10"/>
        <color theme="1"/>
        <rFont val="Microsoft YaHei"/>
        <family val="2"/>
        <charset val="134"/>
      </rPr>
      <t>终实的白开水</t>
    </r>
    <phoneticPr fontId="1" type="noConversion"/>
  </si>
  <si>
    <r>
      <rPr>
        <sz val="10"/>
        <color theme="1"/>
        <rFont val="Microsoft YaHei"/>
        <family val="2"/>
        <charset val="134"/>
      </rPr>
      <t>豆腐都有脑</t>
    </r>
    <phoneticPr fontId="1" type="noConversion"/>
  </si>
  <si>
    <r>
      <t>Poisons</t>
    </r>
    <r>
      <rPr>
        <sz val="10"/>
        <color theme="1"/>
        <rFont val="Microsoft YaHei"/>
        <family val="2"/>
        <charset val="134"/>
      </rPr>
      <t>粟</t>
    </r>
    <phoneticPr fontId="1" type="noConversion"/>
  </si>
  <si>
    <r>
      <rPr>
        <sz val="10"/>
        <color theme="1"/>
        <rFont val="Microsoft YaHei"/>
        <family val="2"/>
        <charset val="134"/>
      </rPr>
      <t>韩国</t>
    </r>
    <phoneticPr fontId="1" type="noConversion"/>
  </si>
  <si>
    <r>
      <t>KK</t>
    </r>
    <r>
      <rPr>
        <sz val="10"/>
        <color theme="1"/>
        <rFont val="Microsoft YaHei"/>
        <family val="2"/>
        <charset val="134"/>
      </rPr>
      <t>蛋糕</t>
    </r>
    <phoneticPr fontId="1" type="noConversion"/>
  </si>
  <si>
    <r>
      <rPr>
        <sz val="10"/>
        <color theme="1"/>
        <rFont val="Microsoft YaHei"/>
        <family val="2"/>
        <charset val="134"/>
      </rPr>
      <t>塵塵老师</t>
    </r>
    <phoneticPr fontId="1" type="noConversion"/>
  </si>
  <si>
    <r>
      <rPr>
        <sz val="10"/>
        <color theme="1"/>
        <rFont val="Microsoft YaHei"/>
        <family val="2"/>
        <charset val="134"/>
      </rPr>
      <t>大聪明</t>
    </r>
    <phoneticPr fontId="1" type="noConversion"/>
  </si>
  <si>
    <r>
      <rPr>
        <sz val="10"/>
        <color theme="1"/>
        <rFont val="Microsoft YaHei"/>
        <family val="2"/>
        <charset val="134"/>
      </rPr>
      <t>空音</t>
    </r>
    <phoneticPr fontId="1" type="noConversion"/>
  </si>
  <si>
    <r>
      <rPr>
        <sz val="10"/>
        <color theme="1"/>
        <rFont val="Microsoft YaHei"/>
        <family val="2"/>
        <charset val="134"/>
      </rPr>
      <t>古龙茗</t>
    </r>
    <phoneticPr fontId="1" type="noConversion"/>
  </si>
  <si>
    <r>
      <rPr>
        <sz val="10"/>
        <color theme="1"/>
        <rFont val="Microsoft YaHei"/>
        <family val="2"/>
        <charset val="134"/>
      </rPr>
      <t>奇迹舟舟环游世界</t>
    </r>
    <phoneticPr fontId="1" type="noConversion"/>
  </si>
  <si>
    <r>
      <rPr>
        <sz val="10"/>
        <color theme="1"/>
        <rFont val="Microsoft YaHei"/>
        <family val="2"/>
        <charset val="134"/>
      </rPr>
      <t>药娘</t>
    </r>
    <phoneticPr fontId="1" type="noConversion"/>
  </si>
  <si>
    <r>
      <rPr>
        <sz val="10"/>
        <color theme="1"/>
        <rFont val="Microsoft YaHei"/>
        <family val="2"/>
        <charset val="134"/>
      </rPr>
      <t>别别别动我的手</t>
    </r>
    <phoneticPr fontId="1" type="noConversion"/>
  </si>
  <si>
    <r>
      <rPr>
        <sz val="10"/>
        <color theme="1"/>
        <rFont val="Microsoft YaHei"/>
        <family val="2"/>
        <charset val="134"/>
      </rPr>
      <t>祝いです</t>
    </r>
    <phoneticPr fontId="1" type="noConversion"/>
  </si>
  <si>
    <r>
      <rPr>
        <sz val="10"/>
        <color theme="1"/>
        <rFont val="Microsoft YaHei"/>
        <family val="2"/>
        <charset val="134"/>
      </rPr>
      <t>灰色旋律</t>
    </r>
    <phoneticPr fontId="1" type="noConversion"/>
  </si>
  <si>
    <r>
      <t>Rose-</t>
    </r>
    <r>
      <rPr>
        <sz val="10"/>
        <color theme="1"/>
        <rFont val="Microsoft YaHei"/>
        <family val="2"/>
        <charset val="134"/>
      </rPr>
      <t>绫殇</t>
    </r>
    <phoneticPr fontId="1" type="noConversion"/>
  </si>
  <si>
    <r>
      <rPr>
        <sz val="10"/>
        <color theme="1"/>
        <rFont val="Microsoft YaHei"/>
        <family val="2"/>
        <charset val="134"/>
      </rPr>
      <t>白魂</t>
    </r>
    <phoneticPr fontId="1" type="noConversion"/>
  </si>
  <si>
    <r>
      <rPr>
        <sz val="10"/>
        <color theme="1"/>
        <rFont val="Microsoft YaHei"/>
        <family val="2"/>
        <charset val="134"/>
      </rPr>
      <t>果果喵喵</t>
    </r>
    <phoneticPr fontId="1" type="noConversion"/>
  </si>
  <si>
    <r>
      <rPr>
        <sz val="10"/>
        <color theme="1"/>
        <rFont val="Microsoft YaHei"/>
        <family val="2"/>
        <charset val="134"/>
      </rPr>
      <t>三文鱼</t>
    </r>
    <phoneticPr fontId="1" type="noConversion"/>
  </si>
  <si>
    <r>
      <t>B</t>
    </r>
    <r>
      <rPr>
        <sz val="10"/>
        <color theme="1"/>
        <rFont val="Microsoft YaHei"/>
        <family val="2"/>
        <charset val="134"/>
      </rPr>
      <t>站凌翼</t>
    </r>
    <phoneticPr fontId="1" type="noConversion"/>
  </si>
  <si>
    <r>
      <rPr>
        <sz val="11"/>
        <color theme="1"/>
        <rFont val="等线"/>
        <family val="2"/>
      </rPr>
      <t>数量</t>
    </r>
    <phoneticPr fontId="1" type="noConversion"/>
  </si>
  <si>
    <r>
      <t>NT</t>
    </r>
    <r>
      <rPr>
        <sz val="11"/>
        <color theme="1"/>
        <rFont val="等线"/>
        <family val="2"/>
      </rPr>
      <t>组</t>
    </r>
    <phoneticPr fontId="1" type="noConversion"/>
  </si>
  <si>
    <r>
      <t>NF</t>
    </r>
    <r>
      <rPr>
        <sz val="11"/>
        <color theme="1"/>
        <rFont val="等线"/>
        <family val="2"/>
      </rPr>
      <t>组</t>
    </r>
    <phoneticPr fontId="1" type="noConversion"/>
  </si>
  <si>
    <r>
      <rPr>
        <sz val="10"/>
        <color theme="1"/>
        <rFont val="Microsoft YaHei"/>
        <family val="2"/>
        <charset val="134"/>
      </rPr>
      <t>大绅士</t>
    </r>
    <r>
      <rPr>
        <sz val="10"/>
        <color theme="1"/>
        <rFont val="Times New Roman"/>
        <family val="1"/>
      </rPr>
      <t>-H</t>
    </r>
    <r>
      <rPr>
        <sz val="10"/>
        <color theme="1"/>
        <rFont val="Microsoft YaHei"/>
        <family val="2"/>
        <charset val="134"/>
      </rPr>
      <t>君</t>
    </r>
    <phoneticPr fontId="1" type="noConversion"/>
  </si>
  <si>
    <r>
      <rPr>
        <sz val="10"/>
        <color theme="1"/>
        <rFont val="Microsoft YaHei"/>
        <family val="2"/>
        <charset val="134"/>
      </rPr>
      <t>傑</t>
    </r>
    <r>
      <rPr>
        <sz val="10"/>
        <color theme="1"/>
        <rFont val="Times New Roman"/>
        <family val="1"/>
      </rPr>
      <t>J1e</t>
    </r>
    <phoneticPr fontId="1" type="noConversion"/>
  </si>
  <si>
    <r>
      <t>SJ</t>
    </r>
    <r>
      <rPr>
        <sz val="11"/>
        <color theme="1"/>
        <rFont val="等线"/>
        <family val="2"/>
      </rPr>
      <t>组</t>
    </r>
    <phoneticPr fontId="1" type="noConversion"/>
  </si>
  <si>
    <r>
      <rPr>
        <sz val="10"/>
        <color theme="1"/>
        <rFont val="Microsoft YaHei"/>
        <family val="2"/>
        <charset val="134"/>
      </rPr>
      <t>海星</t>
    </r>
    <r>
      <rPr>
        <sz val="10"/>
        <color theme="1"/>
        <rFont val="Times New Roman"/>
        <family val="1"/>
      </rPr>
      <t>QAQ</t>
    </r>
    <phoneticPr fontId="1" type="noConversion"/>
  </si>
  <si>
    <r>
      <rPr>
        <sz val="10"/>
        <color theme="1"/>
        <rFont val="Microsoft YaHei"/>
        <family val="2"/>
        <charset val="134"/>
      </rPr>
      <t>千早爱音</t>
    </r>
    <r>
      <rPr>
        <sz val="10"/>
        <color theme="1"/>
        <rFont val="Times New Roman"/>
        <family val="1"/>
      </rPr>
      <t>Anon</t>
    </r>
    <phoneticPr fontId="1" type="noConversion"/>
  </si>
  <si>
    <r>
      <t>SP</t>
    </r>
    <r>
      <rPr>
        <sz val="11"/>
        <color theme="1"/>
        <rFont val="等线"/>
        <family val="2"/>
      </rPr>
      <t>组</t>
    </r>
    <phoneticPr fontId="1" type="noConversion"/>
  </si>
  <si>
    <r>
      <rPr>
        <sz val="10"/>
        <color theme="1"/>
        <rFont val="Microsoft YaHei"/>
        <family val="2"/>
        <charset val="134"/>
      </rPr>
      <t>夜猫</t>
    </r>
    <r>
      <rPr>
        <sz val="10"/>
        <color theme="1"/>
        <rFont val="Times New Roman"/>
        <family val="1"/>
      </rPr>
      <t>Yoruneko</t>
    </r>
    <phoneticPr fontId="1" type="noConversion"/>
  </si>
  <si>
    <r>
      <rPr>
        <sz val="10"/>
        <color theme="1"/>
        <rFont val="Microsoft YaHei"/>
        <family val="2"/>
        <charset val="134"/>
      </rPr>
      <t>老柯</t>
    </r>
    <r>
      <rPr>
        <sz val="10"/>
        <color theme="1"/>
        <rFont val="Times New Roman"/>
        <family val="1"/>
      </rPr>
      <t>contrail</t>
    </r>
    <phoneticPr fontId="1" type="noConversion"/>
  </si>
  <si>
    <r>
      <t>?(</t>
    </r>
    <r>
      <rPr>
        <sz val="10"/>
        <color theme="1"/>
        <rFont val="Microsoft YaHei"/>
        <family val="2"/>
        <charset val="134"/>
      </rPr>
      <t>银子好友</t>
    </r>
    <r>
      <rPr>
        <sz val="10"/>
        <color theme="1"/>
        <rFont val="Times New Roman"/>
        <family val="1"/>
      </rPr>
      <t>)</t>
    </r>
    <phoneticPr fontId="1" type="noConversion"/>
  </si>
  <si>
    <r>
      <t>EN</t>
    </r>
    <r>
      <rPr>
        <sz val="10"/>
        <color theme="1"/>
        <rFont val="Microsoft YaHei"/>
        <family val="2"/>
        <charset val="134"/>
      </rPr>
      <t>，</t>
    </r>
    <r>
      <rPr>
        <sz val="10"/>
        <color theme="1"/>
        <rFont val="Times New Roman"/>
        <family val="1"/>
      </rPr>
      <t>T</t>
    </r>
    <phoneticPr fontId="1" type="noConversion"/>
  </si>
  <si>
    <r>
      <rPr>
        <sz val="10"/>
        <color theme="1"/>
        <rFont val="Microsoft YaHei"/>
        <family val="2"/>
        <charset val="134"/>
      </rPr>
      <t>芙芙</t>
    </r>
    <r>
      <rPr>
        <sz val="10"/>
        <color theme="1"/>
        <rFont val="Times New Roman"/>
        <family val="1"/>
      </rPr>
      <t>OwO</t>
    </r>
    <phoneticPr fontId="1" type="noConversion"/>
  </si>
  <si>
    <r>
      <rPr>
        <sz val="10"/>
        <color theme="1"/>
        <rFont val="Microsoft YaHei"/>
        <family val="2"/>
        <charset val="134"/>
      </rPr>
      <t>怠惰</t>
    </r>
    <r>
      <rPr>
        <sz val="10"/>
        <color theme="1"/>
        <rFont val="Times New Roman"/>
        <family val="1"/>
      </rPr>
      <t>na</t>
    </r>
    <r>
      <rPr>
        <sz val="10"/>
        <color theme="1"/>
        <rFont val="Microsoft YaHei"/>
        <family val="2"/>
        <charset val="134"/>
      </rPr>
      <t>树懒</t>
    </r>
    <phoneticPr fontId="1" type="noConversion"/>
  </si>
  <si>
    <r>
      <t>L</t>
    </r>
    <r>
      <rPr>
        <sz val="10"/>
        <color theme="1"/>
        <rFont val="Microsoft YaHei"/>
        <family val="2"/>
        <charset val="134"/>
      </rPr>
      <t>橘子</t>
    </r>
    <r>
      <rPr>
        <sz val="10"/>
        <color theme="1"/>
        <rFont val="Times New Roman"/>
        <family val="1"/>
      </rPr>
      <t>ya</t>
    </r>
    <phoneticPr fontId="1" type="noConversion"/>
  </si>
  <si>
    <r>
      <rPr>
        <sz val="10"/>
        <color theme="1"/>
        <rFont val="Microsoft YaHei"/>
        <family val="2"/>
        <charset val="134"/>
      </rPr>
      <t>风间</t>
    </r>
    <r>
      <rPr>
        <sz val="10"/>
        <color theme="1"/>
        <rFont val="Times New Roman"/>
        <family val="1"/>
      </rPr>
      <t>kazemaaki</t>
    </r>
    <phoneticPr fontId="1" type="noConversion"/>
  </si>
  <si>
    <r>
      <rPr>
        <sz val="10"/>
        <color theme="1"/>
        <rFont val="Microsoft YaHei"/>
        <family val="2"/>
        <charset val="134"/>
      </rPr>
      <t>伏特加</t>
    </r>
    <r>
      <rPr>
        <sz val="10"/>
        <color theme="1"/>
        <rFont val="Times New Roman"/>
        <family val="1"/>
      </rPr>
      <t>Like</t>
    </r>
    <r>
      <rPr>
        <sz val="10"/>
        <color theme="1"/>
        <rFont val="Microsoft YaHei"/>
        <family val="2"/>
        <charset val="134"/>
      </rPr>
      <t>白兰地</t>
    </r>
    <phoneticPr fontId="1" type="noConversion"/>
  </si>
  <si>
    <r>
      <rPr>
        <sz val="10"/>
        <color theme="1"/>
        <rFont val="Microsoft YaHei"/>
        <family val="2"/>
        <charset val="134"/>
      </rPr>
      <t>是</t>
    </r>
    <r>
      <rPr>
        <sz val="10"/>
        <color theme="1"/>
        <rFont val="Times New Roman"/>
        <family val="1"/>
      </rPr>
      <t>~</t>
    </r>
    <r>
      <rPr>
        <sz val="10"/>
        <color theme="1"/>
        <rFont val="Microsoft YaHei"/>
        <family val="2"/>
        <charset val="134"/>
      </rPr>
      <t>老叶</t>
    </r>
    <phoneticPr fontId="1" type="noConversion"/>
  </si>
  <si>
    <r>
      <rPr>
        <sz val="10"/>
        <color theme="1"/>
        <rFont val="Microsoft YaHei"/>
        <family val="2"/>
        <charset val="134"/>
      </rPr>
      <t>【</t>
    </r>
    <r>
      <rPr>
        <sz val="10"/>
        <color theme="1"/>
        <rFont val="Times New Roman"/>
        <family val="1"/>
      </rPr>
      <t>TK</t>
    </r>
    <r>
      <rPr>
        <sz val="10"/>
        <color theme="1"/>
        <rFont val="Microsoft YaHei"/>
        <family val="2"/>
        <charset val="134"/>
      </rPr>
      <t>】</t>
    </r>
    <phoneticPr fontId="1" type="noConversion"/>
  </si>
  <si>
    <t>a my aRchived</t>
    <phoneticPr fontId="1" type="noConversion"/>
  </si>
  <si>
    <r>
      <t>HeshuI</t>
    </r>
    <r>
      <rPr>
        <sz val="11"/>
        <color theme="1"/>
        <rFont val="宋体"/>
        <family val="1"/>
        <charset val="134"/>
      </rPr>
      <t>喝水</t>
    </r>
    <phoneticPr fontId="1" type="noConversion"/>
  </si>
  <si>
    <t>T</t>
    <phoneticPr fontId="1" type="noConversion"/>
  </si>
  <si>
    <r>
      <rPr>
        <sz val="11"/>
        <color theme="1"/>
        <rFont val="宋体"/>
        <family val="1"/>
        <charset val="134"/>
      </rPr>
      <t>夜樱</t>
    </r>
    <r>
      <rPr>
        <sz val="11"/>
        <color theme="1"/>
        <rFont val="Times New Roman"/>
        <family val="1"/>
      </rPr>
      <t>Hana</t>
    </r>
    <phoneticPr fontId="1" type="noConversion"/>
  </si>
  <si>
    <t>JingHu15</t>
    <phoneticPr fontId="1" type="noConversion"/>
  </si>
  <si>
    <t>yu-s</t>
    <phoneticPr fontId="1" type="noConversion"/>
  </si>
  <si>
    <t>Liangpi</t>
    <phoneticPr fontId="1" type="noConversion"/>
  </si>
  <si>
    <t>占比（全体）</t>
    <phoneticPr fontId="1" type="noConversion"/>
  </si>
  <si>
    <r>
      <rPr>
        <sz val="11"/>
        <color theme="1"/>
        <rFont val="宋体"/>
        <family val="1"/>
        <charset val="134"/>
      </rPr>
      <t>占比（</t>
    </r>
    <r>
      <rPr>
        <sz val="11"/>
        <color theme="1"/>
        <rFont val="Times New Roman"/>
        <family val="1"/>
      </rPr>
      <t>NT</t>
    </r>
    <r>
      <rPr>
        <sz val="11"/>
        <color theme="1"/>
        <rFont val="宋体"/>
        <family val="1"/>
        <charset val="134"/>
      </rPr>
      <t>组）</t>
    </r>
    <phoneticPr fontId="1" type="noConversion"/>
  </si>
  <si>
    <r>
      <rPr>
        <sz val="11"/>
        <color theme="1"/>
        <rFont val="宋体"/>
        <family val="1"/>
        <charset val="134"/>
      </rPr>
      <t>男</t>
    </r>
    <phoneticPr fontId="1" type="noConversion"/>
  </si>
  <si>
    <r>
      <rPr>
        <sz val="11"/>
        <color theme="1"/>
        <rFont val="宋体"/>
        <family val="1"/>
        <charset val="134"/>
      </rPr>
      <t>中国</t>
    </r>
    <phoneticPr fontId="1" type="noConversion"/>
  </si>
  <si>
    <r>
      <rPr>
        <sz val="11"/>
        <color theme="1"/>
        <rFont val="等线"/>
        <family val="1"/>
        <charset val="134"/>
      </rPr>
      <t>铃鹿酱酱</t>
    </r>
    <phoneticPr fontId="1" type="noConversion"/>
  </si>
  <si>
    <r>
      <t>·</t>
    </r>
    <r>
      <rPr>
        <sz val="11"/>
        <color theme="1"/>
        <rFont val="宋体"/>
        <family val="1"/>
        <charset val="134"/>
      </rPr>
      <t>小猪</t>
    </r>
    <r>
      <rPr>
        <sz val="11"/>
        <color theme="1"/>
        <rFont val="Times New Roman"/>
        <family val="1"/>
      </rPr>
      <t>·</t>
    </r>
    <phoneticPr fontId="1" type="noConversion"/>
  </si>
  <si>
    <r>
      <rPr>
        <sz val="11"/>
        <color theme="1"/>
        <rFont val="宋体"/>
        <family val="1"/>
        <charset val="134"/>
      </rPr>
      <t>神乐夜狐</t>
    </r>
    <phoneticPr fontId="1" type="noConversion"/>
  </si>
  <si>
    <r>
      <rPr>
        <sz val="11"/>
        <color theme="1"/>
        <rFont val="宋体"/>
        <family val="1"/>
        <charset val="134"/>
      </rPr>
      <t>女</t>
    </r>
    <phoneticPr fontId="1" type="noConversion"/>
  </si>
  <si>
    <r>
      <rPr>
        <sz val="11"/>
        <color theme="1"/>
        <rFont val="宋体"/>
        <family val="1"/>
        <charset val="134"/>
      </rPr>
      <t>？</t>
    </r>
    <phoneticPr fontId="1" type="noConversion"/>
  </si>
  <si>
    <r>
      <rPr>
        <sz val="11"/>
        <color theme="1"/>
        <rFont val="宋体"/>
        <family val="1"/>
        <charset val="134"/>
      </rPr>
      <t>占比（</t>
    </r>
    <r>
      <rPr>
        <sz val="11"/>
        <color theme="1"/>
        <rFont val="Times New Roman"/>
        <family val="1"/>
      </rPr>
      <t>NF</t>
    </r>
    <r>
      <rPr>
        <sz val="11"/>
        <color theme="1"/>
        <rFont val="宋体"/>
        <family val="1"/>
        <charset val="134"/>
      </rPr>
      <t>组）</t>
    </r>
    <phoneticPr fontId="1" type="noConversion"/>
  </si>
  <si>
    <r>
      <rPr>
        <sz val="11"/>
        <color theme="1"/>
        <rFont val="宋体"/>
        <family val="1"/>
        <charset val="134"/>
      </rPr>
      <t>占比（</t>
    </r>
    <r>
      <rPr>
        <sz val="11"/>
        <color theme="1"/>
        <rFont val="Times New Roman"/>
        <family val="1"/>
      </rPr>
      <t>SJ</t>
    </r>
    <r>
      <rPr>
        <sz val="11"/>
        <color theme="1"/>
        <rFont val="宋体"/>
        <family val="1"/>
        <charset val="134"/>
      </rPr>
      <t>组）</t>
    </r>
    <phoneticPr fontId="1" type="noConversion"/>
  </si>
  <si>
    <r>
      <rPr>
        <sz val="11"/>
        <color theme="1"/>
        <rFont val="宋体"/>
        <family val="1"/>
        <charset val="134"/>
      </rPr>
      <t>占比（</t>
    </r>
    <r>
      <rPr>
        <sz val="11"/>
        <color theme="1"/>
        <rFont val="Times New Roman"/>
        <family val="1"/>
      </rPr>
      <t>SP</t>
    </r>
    <r>
      <rPr>
        <sz val="11"/>
        <color theme="1"/>
        <rFont val="宋体"/>
        <family val="1"/>
        <charset val="134"/>
      </rPr>
      <t>组）</t>
    </r>
    <phoneticPr fontId="1" type="noConversion"/>
  </si>
  <si>
    <r>
      <rPr>
        <sz val="11"/>
        <color theme="1"/>
        <rFont val="Times New Roman"/>
        <family val="2"/>
      </rPr>
      <t>I</t>
    </r>
    <r>
      <rPr>
        <sz val="11"/>
        <color theme="1"/>
        <rFont val="等线"/>
        <family val="2"/>
      </rPr>
      <t>组</t>
    </r>
    <phoneticPr fontId="1" type="noConversion"/>
  </si>
  <si>
    <r>
      <t>E</t>
    </r>
    <r>
      <rPr>
        <sz val="11"/>
        <color theme="1"/>
        <rFont val="宋体"/>
        <family val="1"/>
        <charset val="134"/>
      </rPr>
      <t>组</t>
    </r>
    <phoneticPr fontId="1" type="noConversion"/>
  </si>
  <si>
    <r>
      <t>S</t>
    </r>
    <r>
      <rPr>
        <sz val="11"/>
        <color theme="1"/>
        <rFont val="宋体"/>
        <family val="1"/>
        <charset val="134"/>
      </rPr>
      <t>组</t>
    </r>
    <phoneticPr fontId="1" type="noConversion"/>
  </si>
  <si>
    <r>
      <t>N</t>
    </r>
    <r>
      <rPr>
        <sz val="11"/>
        <color theme="1"/>
        <rFont val="宋体"/>
        <family val="1"/>
        <charset val="134"/>
      </rPr>
      <t>组</t>
    </r>
    <phoneticPr fontId="1" type="noConversion"/>
  </si>
  <si>
    <r>
      <t>T</t>
    </r>
    <r>
      <rPr>
        <sz val="11"/>
        <color theme="1"/>
        <rFont val="宋体"/>
        <family val="1"/>
        <charset val="134"/>
      </rPr>
      <t>组</t>
    </r>
    <phoneticPr fontId="1" type="noConversion"/>
  </si>
  <si>
    <r>
      <t>F</t>
    </r>
    <r>
      <rPr>
        <sz val="11"/>
        <color theme="1"/>
        <rFont val="宋体"/>
        <family val="1"/>
        <charset val="134"/>
      </rPr>
      <t>组</t>
    </r>
    <phoneticPr fontId="1" type="noConversion"/>
  </si>
  <si>
    <r>
      <t>J</t>
    </r>
    <r>
      <rPr>
        <sz val="11"/>
        <color theme="1"/>
        <rFont val="宋体"/>
        <family val="1"/>
        <charset val="134"/>
      </rPr>
      <t>组</t>
    </r>
    <phoneticPr fontId="1" type="noConversion"/>
  </si>
  <si>
    <r>
      <t>P</t>
    </r>
    <r>
      <rPr>
        <sz val="11"/>
        <color theme="1"/>
        <rFont val="宋体"/>
        <family val="1"/>
        <charset val="134"/>
      </rPr>
      <t>组</t>
    </r>
    <phoneticPr fontId="1" type="noConversion"/>
  </si>
  <si>
    <t>海王星（Neptune）</t>
    <phoneticPr fontId="1" type="noConversion"/>
  </si>
  <si>
    <t>数量</t>
    <phoneticPr fontId="1" type="noConversion"/>
  </si>
  <si>
    <r>
      <rPr>
        <sz val="11"/>
        <color theme="1"/>
        <rFont val="宋体"/>
        <family val="1"/>
        <charset val="134"/>
      </rPr>
      <t>占比（</t>
    </r>
    <r>
      <rPr>
        <sz val="11"/>
        <color rgb="FF00B0F0"/>
        <rFont val="Times New Roman"/>
        <family val="1"/>
      </rPr>
      <t>I</t>
    </r>
    <r>
      <rPr>
        <sz val="11"/>
        <color theme="1"/>
        <rFont val="Times New Roman"/>
        <family val="1"/>
      </rPr>
      <t>/</t>
    </r>
    <r>
      <rPr>
        <sz val="11"/>
        <color rgb="FFFF0000"/>
        <rFont val="Times New Roman"/>
        <family val="1"/>
      </rPr>
      <t>E</t>
    </r>
    <r>
      <rPr>
        <sz val="11"/>
        <color theme="1"/>
        <rFont val="宋体"/>
        <family val="1"/>
        <charset val="134"/>
      </rPr>
      <t>组）</t>
    </r>
    <phoneticPr fontId="1" type="noConversion"/>
  </si>
  <si>
    <r>
      <t>I</t>
    </r>
    <r>
      <rPr>
        <sz val="11"/>
        <color theme="1"/>
        <rFont val="宋体"/>
        <family val="1"/>
        <charset val="134"/>
      </rPr>
      <t>组人格分布</t>
    </r>
    <phoneticPr fontId="1" type="noConversion"/>
  </si>
  <si>
    <t>E组人格分布</t>
    <phoneticPr fontId="1" type="noConversion"/>
  </si>
  <si>
    <r>
      <rPr>
        <sz val="11"/>
        <color theme="1"/>
        <rFont val="宋体"/>
        <family val="1"/>
        <charset val="134"/>
      </rPr>
      <t>占比（</t>
    </r>
    <r>
      <rPr>
        <sz val="11"/>
        <color theme="7"/>
        <rFont val="Times New Roman"/>
        <family val="1"/>
      </rPr>
      <t>S</t>
    </r>
    <r>
      <rPr>
        <sz val="11"/>
        <color theme="1"/>
        <rFont val="Times New Roman"/>
        <family val="1"/>
      </rPr>
      <t>/</t>
    </r>
    <r>
      <rPr>
        <sz val="11"/>
        <color theme="9"/>
        <rFont val="Times New Roman"/>
        <family val="1"/>
      </rPr>
      <t>N</t>
    </r>
    <r>
      <rPr>
        <sz val="11"/>
        <color theme="1"/>
        <rFont val="宋体"/>
        <family val="1"/>
        <charset val="134"/>
      </rPr>
      <t>组）</t>
    </r>
    <phoneticPr fontId="1" type="noConversion"/>
  </si>
  <si>
    <r>
      <rPr>
        <sz val="11"/>
        <color theme="1"/>
        <rFont val="宋体"/>
        <family val="1"/>
        <charset val="134"/>
      </rPr>
      <t>占比（</t>
    </r>
    <r>
      <rPr>
        <sz val="11"/>
        <color rgb="FF0070C0"/>
        <rFont val="Times New Roman"/>
        <family val="1"/>
      </rPr>
      <t>J</t>
    </r>
    <r>
      <rPr>
        <sz val="11"/>
        <color theme="1"/>
        <rFont val="Times New Roman"/>
        <family val="1"/>
      </rPr>
      <t>/</t>
    </r>
    <r>
      <rPr>
        <sz val="11"/>
        <color theme="7"/>
        <rFont val="Times New Roman"/>
        <family val="1"/>
      </rPr>
      <t>P</t>
    </r>
    <r>
      <rPr>
        <sz val="11"/>
        <color theme="1"/>
        <rFont val="宋体"/>
        <family val="1"/>
        <charset val="134"/>
      </rPr>
      <t>组）</t>
    </r>
    <phoneticPr fontId="1" type="noConversion"/>
  </si>
  <si>
    <r>
      <rPr>
        <sz val="11"/>
        <color theme="1"/>
        <rFont val="宋体"/>
        <family val="1"/>
        <charset val="134"/>
      </rPr>
      <t>占比（</t>
    </r>
    <r>
      <rPr>
        <sz val="11"/>
        <color rgb="FF7030A0"/>
        <rFont val="Times New Roman"/>
        <family val="1"/>
      </rPr>
      <t>T</t>
    </r>
    <r>
      <rPr>
        <sz val="11"/>
        <color theme="1"/>
        <rFont val="Times New Roman"/>
        <family val="1"/>
      </rPr>
      <t>/</t>
    </r>
    <r>
      <rPr>
        <sz val="11"/>
        <color rgb="FF00B050"/>
        <rFont val="Times New Roman"/>
        <family val="1"/>
      </rPr>
      <t>F</t>
    </r>
    <r>
      <rPr>
        <sz val="11"/>
        <color theme="1"/>
        <rFont val="宋体"/>
        <family val="1"/>
        <charset val="134"/>
      </rPr>
      <t>组）</t>
    </r>
    <phoneticPr fontId="1" type="noConversion"/>
  </si>
  <si>
    <r>
      <rPr>
        <sz val="11"/>
        <color theme="1"/>
        <rFont val="宋体"/>
        <family val="1"/>
        <charset val="134"/>
      </rPr>
      <t>九龙</t>
    </r>
    <r>
      <rPr>
        <sz val="11"/>
        <color theme="1"/>
        <rFont val="Times New Roman"/>
        <family val="1"/>
      </rPr>
      <t>tv</t>
    </r>
    <phoneticPr fontId="1" type="noConversion"/>
  </si>
  <si>
    <t>？</t>
    <phoneticPr fontId="1" type="noConversion"/>
  </si>
  <si>
    <t>TastyCrab</t>
    <phoneticPr fontId="1" type="noConversion"/>
  </si>
  <si>
    <t>CapricPAL</t>
    <phoneticPr fontId="1" type="noConversion"/>
  </si>
  <si>
    <t>男</t>
    <phoneticPr fontId="1" type="noConversion"/>
  </si>
  <si>
    <t>中文器乐社团</t>
    <phoneticPr fontId="1" type="noConversion"/>
  </si>
  <si>
    <t>玉米Yumi</t>
    <phoneticPr fontId="1" type="noConversion"/>
  </si>
  <si>
    <t>中国香港</t>
    <phoneticPr fontId="1" type="noConversion"/>
  </si>
  <si>
    <t>nagano bear</t>
    <phoneticPr fontId="1" type="noConversion"/>
  </si>
  <si>
    <t>阮阮不是软软</t>
    <phoneticPr fontId="1" type="noConversion"/>
  </si>
  <si>
    <t>女</t>
    <phoneticPr fontId="1" type="noConversion"/>
  </si>
  <si>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  <charset val="134"/>
      </rPr>
      <t>YOKO</t>
    </r>
    <r>
      <rPr>
        <sz val="11"/>
        <color theme="1"/>
        <rFont val="宋体"/>
        <family val="1"/>
        <charset val="134"/>
      </rPr>
      <t>）〣（</t>
    </r>
    <r>
      <rPr>
        <sz val="11"/>
        <color theme="1"/>
        <rFont val="Times New Roman"/>
        <family val="1"/>
        <charset val="134"/>
      </rPr>
      <t xml:space="preserve"> º</t>
    </r>
    <r>
      <rPr>
        <sz val="11"/>
        <color theme="1"/>
        <rFont val="Calibri"/>
        <family val="1"/>
        <charset val="161"/>
      </rPr>
      <t>Δ</t>
    </r>
    <r>
      <rPr>
        <sz val="11"/>
        <color theme="1"/>
        <rFont val="Times New Roman"/>
        <family val="1"/>
        <charset val="134"/>
      </rPr>
      <t xml:space="preserve">º </t>
    </r>
    <r>
      <rPr>
        <sz val="11"/>
        <color theme="1"/>
        <rFont val="宋体"/>
        <family val="1"/>
        <charset val="134"/>
      </rPr>
      <t>）〣</t>
    </r>
    <phoneticPr fontId="1" type="noConversion"/>
  </si>
  <si>
    <t>waganetsu</t>
    <phoneticPr fontId="1" type="noConversion"/>
  </si>
  <si>
    <t>[KAZUKI]</t>
    <phoneticPr fontId="1" type="noConversion"/>
  </si>
  <si>
    <t>洛先生OvO</t>
    <phoneticPr fontId="1" type="noConversion"/>
  </si>
  <si>
    <r>
      <rPr>
        <sz val="11"/>
        <color theme="1"/>
        <rFont val="宋体"/>
        <family val="1"/>
        <charset val="134"/>
      </rPr>
      <t>西柚</t>
    </r>
    <r>
      <rPr>
        <sz val="11"/>
        <color theme="1"/>
        <rFont val="Times New Roman"/>
        <family val="1"/>
      </rPr>
      <t>--</t>
    </r>
    <phoneticPr fontId="1" type="noConversion"/>
  </si>
  <si>
    <t>韭菜菜菜</t>
    <phoneticPr fontId="1" type="noConversion"/>
  </si>
  <si>
    <t>ChrisLeiMeng</t>
    <phoneticPr fontId="1" type="noConversion"/>
  </si>
  <si>
    <t>Nicolas Wangis</t>
    <phoneticPr fontId="1" type="noConversion"/>
  </si>
  <si>
    <r>
      <rPr>
        <sz val="11"/>
        <color theme="1"/>
        <rFont val="宋体"/>
        <family val="1"/>
        <charset val="134"/>
      </rPr>
      <t>瑞德</t>
    </r>
    <r>
      <rPr>
        <sz val="11"/>
        <color theme="1"/>
        <rFont val="Times New Roman"/>
        <family val="1"/>
      </rPr>
      <t>233</t>
    </r>
    <phoneticPr fontId="1" type="noConversion"/>
  </si>
  <si>
    <r>
      <rPr>
        <sz val="11"/>
        <color theme="1"/>
        <rFont val="宋体"/>
        <family val="1"/>
        <charset val="134"/>
      </rPr>
      <t>小</t>
    </r>
    <r>
      <rPr>
        <sz val="11"/>
        <color theme="1"/>
        <rFont val="Times New Roman"/>
        <family val="1"/>
      </rPr>
      <t>No</t>
    </r>
    <r>
      <rPr>
        <sz val="11"/>
        <color theme="1"/>
        <rFont val="宋体"/>
        <family val="1"/>
        <charset val="134"/>
      </rPr>
      <t xml:space="preserve">点 </t>
    </r>
    <r>
      <rPr>
        <sz val="11"/>
        <color theme="1"/>
        <rFont val="Times New Roman"/>
        <family val="1"/>
      </rPr>
      <t>520a</t>
    </r>
    <phoneticPr fontId="1" type="noConversion"/>
  </si>
  <si>
    <t>F-ML</t>
    <phoneticPr fontId="1" type="noConversion"/>
  </si>
  <si>
    <t>zhx1337</t>
    <phoneticPr fontId="1" type="noConversion"/>
  </si>
  <si>
    <t>stand by myside</t>
    <phoneticPr fontId="1" type="noConversion"/>
  </si>
  <si>
    <t>Mr.BoBo</t>
    <phoneticPr fontId="1" type="noConversion"/>
  </si>
  <si>
    <t>amezy</t>
    <phoneticPr fontId="1" type="noConversion"/>
  </si>
  <si>
    <t>snowflake-11</t>
    <phoneticPr fontId="1" type="noConversion"/>
  </si>
  <si>
    <t>LiangTao</t>
    <phoneticPr fontId="1" type="noConversion"/>
  </si>
  <si>
    <t>Beas-T</t>
    <phoneticPr fontId="1" type="noConversion"/>
  </si>
  <si>
    <t>白昼HQ</t>
    <phoneticPr fontId="1" type="noConversion"/>
  </si>
  <si>
    <t>日本</t>
    <phoneticPr fontId="1" type="noConversion"/>
  </si>
  <si>
    <t>SARAHINA</t>
    <phoneticPr fontId="1" type="noConversion"/>
  </si>
  <si>
    <t>R1n-noname-k0</t>
    <phoneticPr fontId="1" type="noConversion"/>
  </si>
  <si>
    <t>Izumi</t>
    <phoneticPr fontId="1" type="noConversion"/>
  </si>
  <si>
    <t>Vickyki-Momoko</t>
    <phoneticPr fontId="1" type="noConversion"/>
  </si>
  <si>
    <t>东亚/东南亚</t>
    <phoneticPr fontId="1" type="noConversion"/>
  </si>
  <si>
    <t>A ISTJ</t>
    <phoneticPr fontId="1" type="noConversion"/>
  </si>
  <si>
    <t>Azusa</t>
    <phoneticPr fontId="1" type="noConversion"/>
  </si>
  <si>
    <t>18FJ</t>
    <phoneticPr fontId="1" type="noConversion"/>
  </si>
  <si>
    <t>总计</t>
    <phoneticPr fontId="1" type="noConversion"/>
  </si>
  <si>
    <r>
      <t xml:space="preserve">Reka </t>
    </r>
    <r>
      <rPr>
        <sz val="11"/>
        <color theme="1"/>
        <rFont val="宋体"/>
        <family val="1"/>
        <charset val="134"/>
      </rPr>
      <t>一程程程程</t>
    </r>
    <phoneticPr fontId="1" type="noConversion"/>
  </si>
  <si>
    <t>高级会员制餐厅服务员</t>
    <phoneticPr fontId="1" type="noConversion"/>
  </si>
  <si>
    <t>狸歌aniki</t>
    <phoneticPr fontId="1" type="noConversion"/>
  </si>
  <si>
    <t>123456 e9cb</t>
    <phoneticPr fontId="1" type="noConversion"/>
  </si>
  <si>
    <t>上杉绘梨衣</t>
    <phoneticPr fontId="1" type="noConversion"/>
  </si>
  <si>
    <t>车轮checo</t>
    <phoneticPr fontId="1" type="noConversion"/>
  </si>
  <si>
    <t>Monster20kg</t>
    <phoneticPr fontId="1" type="noConversion"/>
  </si>
  <si>
    <t>Ninkaze</t>
    <phoneticPr fontId="1" type="noConversion"/>
  </si>
  <si>
    <t>月初的雪</t>
    <phoneticPr fontId="1" type="noConversion"/>
  </si>
  <si>
    <t>夏天崽崽</t>
    <phoneticPr fontId="1" type="noConversion"/>
  </si>
  <si>
    <t>须弥小草神纳西妲</t>
    <phoneticPr fontId="1" type="noConversion"/>
  </si>
  <si>
    <t>EN</t>
    <phoneticPr fontId="1" type="noConversion"/>
  </si>
  <si>
    <t>yoi</t>
    <phoneticPr fontId="1" type="noConversion"/>
  </si>
  <si>
    <t>ColaYong</t>
    <phoneticPr fontId="1" type="noConversion"/>
  </si>
  <si>
    <t>venti e4b9</t>
    <phoneticPr fontId="1" type="noConversion"/>
  </si>
  <si>
    <t>rain leaf</t>
    <phoneticPr fontId="1" type="noConversion"/>
  </si>
  <si>
    <r>
      <rPr>
        <sz val="11"/>
        <color theme="1"/>
        <rFont val="宋体"/>
        <family val="1"/>
        <charset val="134"/>
      </rPr>
      <t>竹子菌</t>
    </r>
    <r>
      <rPr>
        <sz val="11"/>
        <color theme="1"/>
        <rFont val="Times New Roman"/>
        <family val="1"/>
      </rPr>
      <t>official</t>
    </r>
    <phoneticPr fontId="1" type="noConversion"/>
  </si>
  <si>
    <r>
      <rPr>
        <sz val="11"/>
        <color theme="1"/>
        <rFont val="微软雅黑"/>
        <family val="1"/>
        <charset val="134"/>
      </rPr>
      <t>悠</t>
    </r>
    <r>
      <rPr>
        <sz val="11"/>
        <color theme="1"/>
        <rFont val="Times New Roman"/>
        <family val="1"/>
      </rPr>
      <t>zzz</t>
    </r>
    <phoneticPr fontId="1" type="noConversion"/>
  </si>
  <si>
    <t>poi</t>
    <phoneticPr fontId="1" type="noConversion"/>
  </si>
  <si>
    <t>Friend1y</t>
    <phoneticPr fontId="1" type="noConversion"/>
  </si>
  <si>
    <t>暮阳之君</t>
    <phoneticPr fontId="1" type="noConversion"/>
  </si>
  <si>
    <r>
      <t>T ,</t>
    </r>
    <r>
      <rPr>
        <sz val="11"/>
        <color theme="1"/>
        <rFont val="宋体"/>
        <family val="1"/>
        <charset val="134"/>
      </rPr>
      <t>男娘</t>
    </r>
    <phoneticPr fontId="1" type="noConversion"/>
  </si>
  <si>
    <t>ANONY</t>
    <phoneticPr fontId="1" type="noConversion"/>
  </si>
  <si>
    <t>Limerence</t>
    <phoneticPr fontId="1" type="noConversion"/>
  </si>
  <si>
    <t>ShanMo</t>
    <phoneticPr fontId="1" type="noConversion"/>
  </si>
  <si>
    <t>Abel 723a</t>
    <phoneticPr fontId="1" type="noConversion"/>
  </si>
  <si>
    <t>Jet Black 03f2</t>
    <phoneticPr fontId="1" type="noConversion"/>
  </si>
  <si>
    <t>星墨墨</t>
    <phoneticPr fontId="1" type="noConversion"/>
  </si>
  <si>
    <t>马来西亚</t>
    <phoneticPr fontId="1" type="noConversion"/>
  </si>
  <si>
    <r>
      <t xml:space="preserve">Sherly </t>
    </r>
    <r>
      <rPr>
        <sz val="11"/>
        <color theme="1"/>
        <rFont val="Yu Gothic"/>
        <family val="1"/>
        <charset val="128"/>
      </rPr>
      <t>バカ</t>
    </r>
    <phoneticPr fontId="1" type="noConversion"/>
  </si>
  <si>
    <t>莫桑寺</t>
    <phoneticPr fontId="1" type="noConversion"/>
  </si>
  <si>
    <t>YoshiKi</t>
    <phoneticPr fontId="1" type="noConversion"/>
  </si>
  <si>
    <t>la.arce</t>
    <phoneticPr fontId="1" type="noConversion"/>
  </si>
  <si>
    <t>ENFJ/A</t>
    <phoneticPr fontId="1" type="noConversion"/>
  </si>
  <si>
    <r>
      <t>Rin.</t>
    </r>
    <r>
      <rPr>
        <sz val="11"/>
        <color theme="1"/>
        <rFont val="宋体"/>
        <family val="1"/>
        <charset val="134"/>
      </rPr>
      <t>璐璐</t>
    </r>
    <phoneticPr fontId="1" type="noConversion"/>
  </si>
  <si>
    <t>韩国</t>
    <phoneticPr fontId="1" type="noConversion"/>
  </si>
  <si>
    <t>白夜梦境</t>
    <phoneticPr fontId="1" type="noConversion"/>
  </si>
  <si>
    <t>野生紫菜汤</t>
    <phoneticPr fontId="1" type="noConversion"/>
  </si>
  <si>
    <t>柊舞缇娜</t>
    <phoneticPr fontId="1" type="noConversion"/>
  </si>
  <si>
    <r>
      <rPr>
        <sz val="10"/>
        <color theme="1"/>
        <rFont val="宋体"/>
        <family val="1"/>
        <charset val="134"/>
      </rPr>
      <t>和</t>
    </r>
    <r>
      <rPr>
        <sz val="10"/>
        <color theme="1"/>
        <rFont val="Times New Roman"/>
        <family val="1"/>
      </rPr>
      <t>-</t>
    </r>
    <r>
      <rPr>
        <sz val="10"/>
        <color theme="1"/>
        <rFont val="宋体"/>
        <family val="1"/>
        <charset val="134"/>
      </rPr>
      <t>然然可能重复</t>
    </r>
    <phoneticPr fontId="1" type="noConversion"/>
  </si>
  <si>
    <r>
      <rPr>
        <sz val="10"/>
        <color rgb="FFFF0000"/>
        <rFont val="Microsoft YaHei"/>
        <family val="2"/>
        <charset val="134"/>
      </rPr>
      <t>男</t>
    </r>
    <phoneticPr fontId="1" type="noConversion"/>
  </si>
  <si>
    <r>
      <rPr>
        <sz val="10"/>
        <color rgb="FFFF0000"/>
        <rFont val="Microsoft YaHei"/>
        <family val="2"/>
        <charset val="134"/>
      </rPr>
      <t>中国</t>
    </r>
    <phoneticPr fontId="1" type="noConversion"/>
  </si>
  <si>
    <r>
      <rPr>
        <sz val="11"/>
        <color rgb="FFFF0000"/>
        <rFont val="宋体"/>
        <family val="1"/>
        <charset val="134"/>
      </rPr>
      <t>然然</t>
    </r>
    <r>
      <rPr>
        <sz val="11"/>
        <color rgb="FFFF0000"/>
        <rFont val="Times New Roman"/>
        <family val="1"/>
      </rPr>
      <t>--</t>
    </r>
    <phoneticPr fontId="1" type="noConversion"/>
  </si>
  <si>
    <t>药药</t>
    <phoneticPr fontId="1" type="noConversion"/>
  </si>
  <si>
    <t>ZimoRicardo</t>
    <phoneticPr fontId="1" type="noConversion"/>
  </si>
  <si>
    <t>Moko Bread</t>
    <phoneticPr fontId="1" type="noConversion"/>
  </si>
  <si>
    <t>Rice fan</t>
    <phoneticPr fontId="1" type="noConversion"/>
  </si>
  <si>
    <t>冷忆昔年</t>
    <phoneticPr fontId="1" type="noConversion"/>
  </si>
  <si>
    <t>简介没写…</t>
    <phoneticPr fontId="1" type="noConversion"/>
  </si>
  <si>
    <r>
      <t>DD</t>
    </r>
    <r>
      <rPr>
        <sz val="11"/>
        <color theme="1"/>
        <rFont val="宋体"/>
        <family val="1"/>
        <charset val="134"/>
      </rPr>
      <t>括号</t>
    </r>
    <phoneticPr fontId="1" type="noConversion"/>
  </si>
  <si>
    <t>BeMikUta</t>
    <phoneticPr fontId="1" type="noConversion"/>
  </si>
  <si>
    <t>肖越大猛一</t>
    <phoneticPr fontId="1" type="noConversion"/>
  </si>
  <si>
    <t>男娘？</t>
    <phoneticPr fontId="1" type="noConversion"/>
  </si>
  <si>
    <t>Yoishi</t>
    <phoneticPr fontId="1" type="noConversion"/>
  </si>
  <si>
    <t>Asa57</t>
    <phoneticPr fontId="1" type="noConversion"/>
  </si>
  <si>
    <t>otter-TATA</t>
    <phoneticPr fontId="1" type="noConversion"/>
  </si>
  <si>
    <t>小秋比 Xiao Qiubi</t>
    <phoneticPr fontId="1" type="noConversion"/>
  </si>
  <si>
    <t>猫与柠夏</t>
    <phoneticPr fontId="1" type="noConversion"/>
  </si>
  <si>
    <t>我是力量的花生</t>
    <phoneticPr fontId="1" type="noConversion"/>
  </si>
  <si>
    <t>晓炜卷卷</t>
    <phoneticPr fontId="1" type="noConversion"/>
  </si>
  <si>
    <t>中国台湾</t>
    <phoneticPr fontId="1" type="noConversion"/>
  </si>
  <si>
    <t>柔柔不想睡觉</t>
    <phoneticPr fontId="1" type="noConversion"/>
  </si>
  <si>
    <t>firework 133</t>
    <phoneticPr fontId="1" type="noConversion"/>
  </si>
  <si>
    <t>OVE1</t>
    <phoneticPr fontId="1" type="noConversion"/>
  </si>
  <si>
    <t>PhaPocry</t>
    <phoneticPr fontId="1" type="noConversion"/>
  </si>
  <si>
    <t>POKANET</t>
    <phoneticPr fontId="1" type="noConversion"/>
  </si>
  <si>
    <t>T-Tenma</t>
    <phoneticPr fontId="1" type="noConversion"/>
  </si>
  <si>
    <t>伊安茗MingEann</t>
    <phoneticPr fontId="1" type="noConversion"/>
  </si>
  <si>
    <r>
      <rPr>
        <sz val="11"/>
        <color theme="1"/>
        <rFont val="宋体"/>
        <family val="1"/>
        <charset val="134"/>
      </rPr>
      <t>千早爱音</t>
    </r>
    <r>
      <rPr>
        <sz val="11"/>
        <color theme="1"/>
        <rFont val="Times New Roman"/>
        <family val="1"/>
      </rPr>
      <t>Anon</t>
    </r>
    <phoneticPr fontId="1" type="noConversion"/>
  </si>
  <si>
    <t>是你的步离离</t>
    <phoneticPr fontId="1" type="noConversion"/>
  </si>
  <si>
    <t>秋桑-J16N5</t>
    <phoneticPr fontId="1" type="noConversion"/>
  </si>
  <si>
    <r>
      <t>vrchat 16p</t>
    </r>
    <r>
      <rPr>
        <sz val="11"/>
        <color theme="1"/>
        <rFont val="宋体"/>
        <family val="1"/>
        <charset val="134"/>
      </rPr>
      <t>人格分布</t>
    </r>
    <phoneticPr fontId="1" type="noConversion"/>
  </si>
  <si>
    <r>
      <rPr>
        <sz val="11"/>
        <color theme="1"/>
        <rFont val="宋体"/>
        <family val="1"/>
        <charset val="134"/>
      </rPr>
      <t>现实</t>
    </r>
    <r>
      <rPr>
        <sz val="11"/>
        <color theme="1"/>
        <rFont val="Times New Roman"/>
        <family val="1"/>
      </rPr>
      <t>16p</t>
    </r>
    <r>
      <rPr>
        <sz val="11"/>
        <color theme="1"/>
        <rFont val="宋体"/>
        <family val="1"/>
        <charset val="134"/>
      </rPr>
      <t>人格分布</t>
    </r>
    <phoneticPr fontId="1" type="noConversion"/>
  </si>
  <si>
    <r>
      <t xml:space="preserve"> vrchat </t>
    </r>
    <r>
      <rPr>
        <sz val="11"/>
        <color theme="1"/>
        <rFont val="宋体"/>
        <family val="1"/>
        <charset val="134"/>
      </rPr>
      <t>伏特加的社交圈人格</t>
    </r>
    <phoneticPr fontId="1" type="noConversion"/>
  </si>
  <si>
    <t>占比</t>
    <phoneticPr fontId="1" type="noConversion"/>
  </si>
  <si>
    <t>伏特加</t>
    <phoneticPr fontId="1" type="noConversion"/>
  </si>
  <si>
    <t>yuluo14</t>
    <phoneticPr fontId="1" type="noConversion"/>
  </si>
  <si>
    <t>一只小软辅</t>
    <phoneticPr fontId="1" type="noConversion"/>
  </si>
  <si>
    <t>z</t>
    <phoneticPr fontId="1" type="noConversion"/>
  </si>
  <si>
    <t>Tina-0815</t>
    <phoneticPr fontId="1" type="noConversion"/>
  </si>
  <si>
    <r>
      <rPr>
        <sz val="11"/>
        <color theme="1"/>
        <rFont val="宋体"/>
        <family val="3"/>
        <charset val="134"/>
      </rPr>
      <t>差异变化</t>
    </r>
    <phoneticPr fontId="1" type="noConversion"/>
  </si>
  <si>
    <t>小早川知世</t>
    <phoneticPr fontId="1" type="noConversion"/>
  </si>
  <si>
    <r>
      <rPr>
        <sz val="11"/>
        <color theme="1"/>
        <rFont val="宋体"/>
        <family val="1"/>
        <charset val="134"/>
      </rPr>
      <t>肥宅猫</t>
    </r>
    <r>
      <rPr>
        <sz val="11"/>
        <color theme="1"/>
        <rFont val="Times New Roman"/>
        <family val="1"/>
      </rPr>
      <t>KT</t>
    </r>
    <phoneticPr fontId="1" type="noConversion"/>
  </si>
  <si>
    <t>中国（台湾）</t>
    <phoneticPr fontId="1" type="noConversion"/>
  </si>
  <si>
    <t>江苏风风花</t>
    <phoneticPr fontId="1" type="noConversion"/>
  </si>
  <si>
    <r>
      <t>Jak</t>
    </r>
    <r>
      <rPr>
        <sz val="11"/>
        <color theme="1"/>
        <rFont val="宋体"/>
        <family val="1"/>
        <charset val="134"/>
      </rPr>
      <t>夕醉</t>
    </r>
    <phoneticPr fontId="1" type="noConversion"/>
  </si>
  <si>
    <r>
      <rPr>
        <sz val="11"/>
        <color theme="1"/>
        <rFont val="宋体"/>
        <family val="1"/>
        <charset val="134"/>
      </rPr>
      <t>奈也</t>
    </r>
    <r>
      <rPr>
        <sz val="11"/>
        <color theme="1"/>
        <rFont val="Times New Roman"/>
        <family val="1"/>
      </rPr>
      <t>·U·</t>
    </r>
    <phoneticPr fontId="1" type="noConversion"/>
  </si>
  <si>
    <t>砂糖Sto</t>
    <phoneticPr fontId="1" type="noConversion"/>
  </si>
  <si>
    <t>超级可爱大卯喵</t>
    <phoneticPr fontId="1" type="noConversion"/>
  </si>
  <si>
    <t>XingYanXY</t>
    <phoneticPr fontId="1" type="noConversion"/>
  </si>
  <si>
    <r>
      <rPr>
        <sz val="11"/>
        <color theme="1"/>
        <rFont val="宋体"/>
        <family val="1"/>
        <charset val="134"/>
      </rPr>
      <t>子豪</t>
    </r>
    <r>
      <rPr>
        <sz val="11"/>
        <color theme="1"/>
        <rFont val="Times New Roman"/>
        <family val="1"/>
      </rPr>
      <t>98</t>
    </r>
    <phoneticPr fontId="1" type="noConversion"/>
  </si>
  <si>
    <r>
      <rPr>
        <sz val="11"/>
        <color theme="1"/>
        <rFont val="宋体"/>
        <family val="1"/>
        <charset val="134"/>
      </rPr>
      <t>薄荷牛奶</t>
    </r>
    <r>
      <rPr>
        <sz val="11"/>
        <color theme="1"/>
        <rFont val="Times New Roman"/>
        <family val="1"/>
      </rPr>
      <t>ouo</t>
    </r>
    <phoneticPr fontId="1" type="noConversion"/>
  </si>
  <si>
    <t>illusoryXD</t>
    <phoneticPr fontId="1" type="noConversion"/>
  </si>
  <si>
    <t>NT</t>
    <phoneticPr fontId="1" type="noConversion"/>
  </si>
  <si>
    <t>NF</t>
    <phoneticPr fontId="1" type="noConversion"/>
  </si>
  <si>
    <t>SP</t>
    <phoneticPr fontId="1" type="noConversion"/>
  </si>
  <si>
    <t>SJ</t>
    <phoneticPr fontId="1" type="noConversion"/>
  </si>
  <si>
    <t>占比（现实）（全体）</t>
    <phoneticPr fontId="1" type="noConversion"/>
  </si>
  <si>
    <t>I</t>
    <phoneticPr fontId="1" type="noConversion"/>
  </si>
  <si>
    <t>E</t>
    <phoneticPr fontId="1" type="noConversion"/>
  </si>
  <si>
    <t>S</t>
    <phoneticPr fontId="1" type="noConversion"/>
  </si>
  <si>
    <t>N</t>
    <phoneticPr fontId="1" type="noConversion"/>
  </si>
  <si>
    <t>F</t>
    <phoneticPr fontId="1" type="noConversion"/>
  </si>
  <si>
    <t>J</t>
    <phoneticPr fontId="1" type="noConversion"/>
  </si>
  <si>
    <t>P</t>
    <phoneticPr fontId="1" type="noConversion"/>
  </si>
  <si>
    <t>vrchat</t>
    <phoneticPr fontId="1" type="noConversion"/>
  </si>
  <si>
    <t>现实</t>
    <phoneticPr fontId="1" type="noConversion"/>
  </si>
  <si>
    <t>差值</t>
    <phoneticPr fontId="1" type="noConversion"/>
  </si>
  <si>
    <t>插值</t>
    <phoneticPr fontId="1" type="noConversion"/>
  </si>
  <si>
    <t xml:space="preserve">   </t>
    <phoneticPr fontId="1" type="noConversion"/>
  </si>
  <si>
    <t>Ti</t>
  </si>
  <si>
    <t>Ti</t>
    <phoneticPr fontId="1" type="noConversion"/>
  </si>
  <si>
    <t>Fi</t>
  </si>
  <si>
    <t>Fi</t>
    <phoneticPr fontId="1" type="noConversion"/>
  </si>
  <si>
    <t>Fe</t>
  </si>
  <si>
    <t>Fe</t>
    <phoneticPr fontId="1" type="noConversion"/>
  </si>
  <si>
    <t>Te</t>
  </si>
  <si>
    <t>Te</t>
    <phoneticPr fontId="1" type="noConversion"/>
  </si>
  <si>
    <t>Ni</t>
  </si>
  <si>
    <t>Ni</t>
    <phoneticPr fontId="1" type="noConversion"/>
  </si>
  <si>
    <t>Ne</t>
  </si>
  <si>
    <t>Ne</t>
    <phoneticPr fontId="1" type="noConversion"/>
  </si>
  <si>
    <t>Si</t>
  </si>
  <si>
    <t>Si</t>
    <phoneticPr fontId="1" type="noConversion"/>
  </si>
  <si>
    <t>Se</t>
    <phoneticPr fontId="1" type="noConversion"/>
  </si>
  <si>
    <t>vrc</t>
    <phoneticPr fontId="1" type="noConversion"/>
  </si>
  <si>
    <t>现实/vrc差异变化</t>
    <phoneticPr fontId="1" type="noConversion"/>
  </si>
  <si>
    <r>
      <rPr>
        <sz val="11"/>
        <color theme="1"/>
        <rFont val="宋体"/>
        <family val="1"/>
        <charset val="134"/>
      </rPr>
      <t>鲨鲨</t>
    </r>
    <r>
      <rPr>
        <sz val="11"/>
        <color theme="1"/>
        <rFont val="Times New Roman"/>
        <family val="1"/>
      </rPr>
      <t>gurua</t>
    </r>
    <phoneticPr fontId="1" type="noConversion"/>
  </si>
  <si>
    <r>
      <rPr>
        <sz val="11"/>
        <color theme="1"/>
        <rFont val="宋体"/>
        <family val="1"/>
        <charset val="134"/>
      </rPr>
      <t>次元</t>
    </r>
    <r>
      <rPr>
        <sz val="11"/>
        <color theme="1"/>
        <rFont val="Times New Roman"/>
        <family val="1"/>
      </rPr>
      <t>Ciyuan</t>
    </r>
    <phoneticPr fontId="1" type="noConversion"/>
  </si>
  <si>
    <t>Orgg</t>
    <phoneticPr fontId="1" type="noConversion"/>
  </si>
  <si>
    <t>Pujateri</t>
    <phoneticPr fontId="1" type="noConversion"/>
  </si>
  <si>
    <t>Gabent</t>
    <phoneticPr fontId="1" type="noConversion"/>
  </si>
  <si>
    <r>
      <t>Candy</t>
    </r>
    <r>
      <rPr>
        <sz val="11"/>
        <color theme="1"/>
        <rFont val="宋体"/>
        <family val="1"/>
        <charset val="134"/>
      </rPr>
      <t>糖糖</t>
    </r>
    <phoneticPr fontId="1" type="noConversion"/>
  </si>
  <si>
    <r>
      <rPr>
        <sz val="11"/>
        <color theme="1"/>
        <rFont val="宋体"/>
        <family val="1"/>
        <charset val="134"/>
      </rPr>
      <t xml:space="preserve">椎名 </t>
    </r>
    <r>
      <rPr>
        <sz val="11"/>
        <color theme="1"/>
        <rFont val="Times New Roman"/>
        <family val="1"/>
      </rPr>
      <t>0f8e</t>
    </r>
    <phoneticPr fontId="1" type="noConversion"/>
  </si>
  <si>
    <r>
      <rPr>
        <sz val="11"/>
        <color theme="1"/>
        <rFont val="宋体"/>
        <family val="1"/>
        <charset val="134"/>
      </rPr>
      <t>老六</t>
    </r>
    <r>
      <rPr>
        <sz val="11"/>
        <color theme="1"/>
        <rFont val="Times New Roman"/>
        <family val="1"/>
      </rPr>
      <t>Oldsix</t>
    </r>
    <phoneticPr fontId="1" type="noConversion"/>
  </si>
  <si>
    <t>l</t>
    <phoneticPr fontId="1" type="noConversion"/>
  </si>
  <si>
    <t>serola</t>
    <phoneticPr fontId="1" type="noConversion"/>
  </si>
  <si>
    <t>Alan_J</t>
    <phoneticPr fontId="1" type="noConversion"/>
  </si>
  <si>
    <t>BONE_FISH0</t>
    <phoneticPr fontId="1" type="noConversion"/>
  </si>
  <si>
    <r>
      <t>Eines_</t>
    </r>
    <r>
      <rPr>
        <sz val="11"/>
        <color theme="1"/>
        <rFont val="Yu Gothic"/>
        <family val="1"/>
        <charset val="128"/>
      </rPr>
      <t>エイン</t>
    </r>
    <phoneticPr fontId="1" type="noConversion"/>
  </si>
  <si>
    <t>无敌羊仔</t>
    <phoneticPr fontId="1" type="noConversion"/>
  </si>
  <si>
    <t>GreatStupid</t>
    <phoneticPr fontId="1" type="noConversion"/>
  </si>
  <si>
    <t>苏苏（su su）</t>
    <phoneticPr fontId="1" type="noConversion"/>
  </si>
  <si>
    <r>
      <t>sodayo</t>
    </r>
    <r>
      <rPr>
        <sz val="11"/>
        <color theme="1"/>
        <rFont val="Yu Gothic"/>
        <family val="1"/>
        <charset val="128"/>
      </rPr>
      <t>そだよ</t>
    </r>
    <phoneticPr fontId="1" type="noConversion"/>
  </si>
  <si>
    <t>idkmyname</t>
    <phoneticPr fontId="1" type="noConversion"/>
  </si>
  <si>
    <t>克劳恩皮丝</t>
    <phoneticPr fontId="1" type="noConversion"/>
  </si>
  <si>
    <t>satono-Diamond</t>
    <phoneticPr fontId="1" type="noConversion"/>
  </si>
  <si>
    <t>sillykitten</t>
    <phoneticPr fontId="1" type="noConversion"/>
  </si>
  <si>
    <t>Guonicky</t>
    <phoneticPr fontId="1" type="noConversion"/>
  </si>
  <si>
    <t>hypecat93</t>
    <phoneticPr fontId="1" type="noConversion"/>
  </si>
  <si>
    <r>
      <rPr>
        <sz val="11"/>
        <color theme="1"/>
        <rFont val="宋体"/>
        <family val="1"/>
        <charset val="134"/>
      </rPr>
      <t>回転</t>
    </r>
    <r>
      <rPr>
        <sz val="11"/>
        <color theme="1"/>
        <rFont val="Times New Roman"/>
        <family val="1"/>
      </rPr>
      <t>kinoko</t>
    </r>
    <phoneticPr fontId="1" type="noConversion"/>
  </si>
  <si>
    <t>—白板—</t>
    <phoneticPr fontId="1" type="noConversion"/>
  </si>
  <si>
    <t>Butterfly</t>
    <phoneticPr fontId="1" type="noConversion"/>
  </si>
  <si>
    <r>
      <rPr>
        <sz val="11"/>
        <color theme="1"/>
        <rFont val="微软雅黑"/>
        <family val="1"/>
        <charset val="134"/>
      </rPr>
      <t>椰</t>
    </r>
    <r>
      <rPr>
        <sz val="11"/>
        <color theme="1"/>
        <rFont val="Times New Roman"/>
        <family val="1"/>
      </rPr>
      <t>leopard</t>
    </r>
    <phoneticPr fontId="1" type="noConversion"/>
  </si>
  <si>
    <r>
      <t>24</t>
    </r>
    <r>
      <rPr>
        <sz val="11"/>
        <color theme="1"/>
        <rFont val="宋体"/>
        <family val="1"/>
        <charset val="134"/>
      </rPr>
      <t>，无法直观感受理解喜欢的感觉，只能通过理性理解。</t>
    </r>
    <phoneticPr fontId="1" type="noConversion"/>
  </si>
  <si>
    <t>Mochikw1</t>
    <phoneticPr fontId="1" type="noConversion"/>
  </si>
  <si>
    <t>别吃爆米花</t>
    <phoneticPr fontId="1" type="noConversion"/>
  </si>
  <si>
    <t>Carina-aniraC</t>
    <phoneticPr fontId="1" type="noConversion"/>
  </si>
  <si>
    <t>魂游于夜</t>
    <phoneticPr fontId="1" type="noConversion"/>
  </si>
  <si>
    <t>团子每天都好困</t>
    <phoneticPr fontId="1" type="noConversion"/>
  </si>
  <si>
    <t>SPIDER</t>
    <phoneticPr fontId="1" type="noConversion"/>
  </si>
  <si>
    <t>lady hana</t>
    <phoneticPr fontId="1" type="noConversion"/>
  </si>
  <si>
    <t>俄罗斯</t>
    <phoneticPr fontId="1" type="noConversion"/>
  </si>
  <si>
    <t>Hikaru</t>
    <phoneticPr fontId="1" type="noConversion"/>
  </si>
  <si>
    <t>Vegetablebird</t>
    <phoneticPr fontId="1" type="noConversion"/>
  </si>
  <si>
    <r>
      <rPr>
        <sz val="11"/>
        <color theme="1"/>
        <rFont val="宋体"/>
        <family val="1"/>
        <charset val="134"/>
      </rPr>
      <t>在数据量为</t>
    </r>
    <r>
      <rPr>
        <sz val="11"/>
        <color theme="1"/>
        <rFont val="Times New Roman"/>
        <family val="1"/>
      </rPr>
      <t>107</t>
    </r>
    <r>
      <rPr>
        <sz val="11"/>
        <color theme="1"/>
        <rFont val="宋体"/>
        <family val="1"/>
        <charset val="134"/>
      </rPr>
      <t>时出现重复，推测中文吧玩家数量为</t>
    </r>
    <r>
      <rPr>
        <sz val="11"/>
        <color theme="1"/>
        <rFont val="Times New Roman"/>
        <family val="1"/>
      </rPr>
      <t>2916</t>
    </r>
    <r>
      <rPr>
        <sz val="11"/>
        <color theme="1"/>
        <rFont val="宋体"/>
        <family val="1"/>
        <charset val="134"/>
      </rPr>
      <t>。二次重复</t>
    </r>
    <phoneticPr fontId="1" type="noConversion"/>
  </si>
  <si>
    <t>重复</t>
    <phoneticPr fontId="1" type="noConversion"/>
  </si>
  <si>
    <r>
      <t>Lin</t>
    </r>
    <r>
      <rPr>
        <sz val="11"/>
        <color theme="1"/>
        <rFont val="宋体"/>
        <family val="1"/>
        <charset val="134"/>
      </rPr>
      <t>墨云</t>
    </r>
    <r>
      <rPr>
        <sz val="11"/>
        <color theme="1"/>
        <rFont val="Times New Roman"/>
        <family val="1"/>
      </rPr>
      <t>w</t>
    </r>
    <phoneticPr fontId="1" type="noConversion"/>
  </si>
  <si>
    <t>雪糕_Quinn</t>
    <phoneticPr fontId="1" type="noConversion"/>
  </si>
  <si>
    <t>音乐，爱喝酒，有对象</t>
    <phoneticPr fontId="1" type="noConversion"/>
  </si>
  <si>
    <t>Bilibili-VK</t>
    <phoneticPr fontId="1" type="noConversion"/>
  </si>
  <si>
    <t>职业音乐人，因圈内矛盾退圈，但内因本质还是喜欢音乐</t>
    <phoneticPr fontId="1" type="noConversion"/>
  </si>
  <si>
    <t>FireELF</t>
    <phoneticPr fontId="1" type="noConversion"/>
  </si>
  <si>
    <t>五更琉璃</t>
    <phoneticPr fontId="1" type="noConversion"/>
  </si>
  <si>
    <t>对不同语言使用者对自身昵称的称呼方法有归类。改模大佬。说话时喜欢用假设，喜欢用q版模。在工作。Ti功能明显。和璐璐和培根桑关系很好</t>
    <phoneticPr fontId="1" type="noConversion"/>
  </si>
  <si>
    <t>黑夜浮屠</t>
    <phoneticPr fontId="1" type="noConversion"/>
  </si>
  <si>
    <r>
      <t>3</t>
    </r>
    <r>
      <rPr>
        <sz val="11"/>
        <color theme="1"/>
        <rFont val="宋体"/>
        <family val="1"/>
        <charset val="134"/>
      </rPr>
      <t>倍冰之妖精</t>
    </r>
    <phoneticPr fontId="1" type="noConversion"/>
  </si>
  <si>
    <t>前端工程师</t>
    <phoneticPr fontId="1" type="noConversion"/>
  </si>
  <si>
    <t>LvyLoi_0515</t>
    <phoneticPr fontId="1" type="noConversion"/>
  </si>
  <si>
    <r>
      <rPr>
        <sz val="11"/>
        <color theme="1"/>
        <rFont val="DengXian"/>
        <family val="1"/>
        <charset val="134"/>
      </rPr>
      <t>月</t>
    </r>
    <r>
      <rPr>
        <sz val="11"/>
        <color theme="1"/>
        <rFont val="Times New Roman"/>
        <family val="1"/>
      </rPr>
      <t>no</t>
    </r>
    <r>
      <rPr>
        <sz val="11"/>
        <color theme="1"/>
        <rFont val="DengXian"/>
        <family val="1"/>
        <charset val="134"/>
      </rPr>
      <t>下</t>
    </r>
    <r>
      <rPr>
        <sz val="11"/>
        <color theme="1"/>
        <rFont val="Times New Roman"/>
        <family val="1"/>
      </rPr>
      <t>de</t>
    </r>
    <r>
      <rPr>
        <sz val="11"/>
        <color theme="1"/>
        <rFont val="DengXian"/>
        <family val="1"/>
        <charset val="134"/>
      </rPr>
      <t>歌</t>
    </r>
    <r>
      <rPr>
        <sz val="11"/>
        <color theme="1"/>
        <rFont val="Times New Roman"/>
        <family val="1"/>
      </rPr>
      <t>u</t>
    </r>
    <r>
      <rPr>
        <sz val="11"/>
        <color theme="1"/>
        <rFont val="DengXian"/>
        <family val="1"/>
        <charset val="134"/>
      </rPr>
      <t>【花】</t>
    </r>
    <phoneticPr fontId="1" type="noConversion"/>
  </si>
  <si>
    <r>
      <rPr>
        <sz val="11"/>
        <color theme="1"/>
        <rFont val="DengXian"/>
        <family val="1"/>
        <charset val="134"/>
      </rPr>
      <t>限定</t>
    </r>
    <r>
      <rPr>
        <sz val="11"/>
        <color theme="1"/>
        <rFont val="Times New Roman"/>
        <family val="1"/>
      </rPr>
      <t>·</t>
    </r>
    <r>
      <rPr>
        <sz val="11"/>
        <color theme="1"/>
        <rFont val="DengXian"/>
        <family val="1"/>
        <charset val="134"/>
      </rPr>
      <t>咖啡女仆</t>
    </r>
    <phoneticPr fontId="1" type="noConversion"/>
  </si>
  <si>
    <t>froned lieyk</t>
    <phoneticPr fontId="1" type="noConversion"/>
  </si>
  <si>
    <r>
      <rPr>
        <sz val="11"/>
        <color theme="1"/>
        <rFont val="DengXian"/>
        <family val="1"/>
        <charset val="134"/>
      </rPr>
      <t>限定</t>
    </r>
    <r>
      <rPr>
        <sz val="11"/>
        <color theme="1"/>
        <rFont val="Times New Roman"/>
        <family val="1"/>
      </rPr>
      <t>·</t>
    </r>
    <r>
      <rPr>
        <sz val="11"/>
        <color theme="1"/>
        <rFont val="DengXian"/>
        <family val="1"/>
        <charset val="134"/>
      </rPr>
      <t>咖啡女仆/可能和雪糕</t>
    </r>
    <r>
      <rPr>
        <sz val="11"/>
        <color theme="1"/>
        <rFont val="Times New Roman"/>
        <family val="1"/>
        <charset val="134"/>
      </rPr>
      <t>_Quinn</t>
    </r>
    <r>
      <rPr>
        <sz val="11"/>
        <color theme="1"/>
        <rFont val="DengXian"/>
        <family val="1"/>
        <charset val="134"/>
      </rPr>
      <t>是同一个人</t>
    </r>
    <phoneticPr fontId="1" type="noConversion"/>
  </si>
  <si>
    <t>天真的残阳</t>
    <phoneticPr fontId="1" type="noConversion"/>
  </si>
  <si>
    <t>美国</t>
    <phoneticPr fontId="1" type="noConversion"/>
  </si>
  <si>
    <t>在枫枫和其他人聊天的场合，难以表达自己的情绪。最后枫枫照顾克劳的情绪去私人房聊天了</t>
    <phoneticPr fontId="1" type="noConversion"/>
  </si>
  <si>
    <t>。</t>
    <phoneticPr fontId="1" type="noConversion"/>
  </si>
  <si>
    <r>
      <rPr>
        <sz val="11"/>
        <color theme="1"/>
        <rFont val="DengXian"/>
        <family val="1"/>
        <charset val="134"/>
      </rPr>
      <t xml:space="preserve">  聊天中心。一旦离开，在一起聊天的好友也会离开    艾谢尔</t>
    </r>
    <r>
      <rPr>
        <sz val="11"/>
        <color theme="1"/>
        <rFont val="Times New Roman"/>
        <family val="1"/>
      </rPr>
      <t>Azure</t>
    </r>
    <r>
      <rPr>
        <sz val="11"/>
        <color theme="1"/>
        <rFont val="DengXian"/>
        <family val="1"/>
        <charset val="134"/>
      </rPr>
      <t>：聊生物转录，变声器，枫群组</t>
    </r>
    <r>
      <rPr>
        <sz val="11"/>
        <color theme="1"/>
        <rFont val="Times New Roman"/>
        <family val="1"/>
      </rPr>
      <t xml:space="preserve">     </t>
    </r>
    <r>
      <rPr>
        <sz val="11"/>
        <color theme="1"/>
        <rFont val="DengXian"/>
        <family val="1"/>
        <charset val="134"/>
      </rPr>
      <t xml:space="preserve">年糕夹心：没有顾及其他声音女好友，健谈  </t>
    </r>
    <r>
      <rPr>
        <sz val="11"/>
        <color theme="1"/>
        <rFont val="Times New Roman"/>
        <family val="1"/>
      </rPr>
      <t>RealAki</t>
    </r>
    <r>
      <rPr>
        <sz val="11"/>
        <color theme="1"/>
        <rFont val="DengXian"/>
        <family val="1"/>
        <charset val="134"/>
      </rPr>
      <t>：淀粉肠专家</t>
    </r>
    <phoneticPr fontId="1" type="noConversion"/>
  </si>
  <si>
    <t>min…</t>
    <phoneticPr fontId="1" type="noConversion"/>
  </si>
  <si>
    <r>
      <rPr>
        <sz val="11"/>
        <color theme="1"/>
        <rFont val="Microsoft YaHei"/>
        <family val="1"/>
        <charset val="134"/>
      </rPr>
      <t>霜</t>
    </r>
    <r>
      <rPr>
        <sz val="11"/>
        <color theme="1"/>
        <rFont val="Times New Roman"/>
        <family val="1"/>
      </rPr>
      <t>OuO</t>
    </r>
    <phoneticPr fontId="1" type="noConversion"/>
  </si>
  <si>
    <t>Visionmagic</t>
    <phoneticPr fontId="1" type="noConversion"/>
  </si>
  <si>
    <t>夜莺嘤嘤嘤</t>
    <phoneticPr fontId="1" type="noConversion"/>
  </si>
  <si>
    <t>重复一次。小软辅</t>
    <phoneticPr fontId="1" type="noConversion"/>
  </si>
  <si>
    <t>T</t>
    <phoneticPr fontId="1" type="noConversion"/>
  </si>
  <si>
    <t>重复一次</t>
    <phoneticPr fontId="1" type="noConversion"/>
  </si>
  <si>
    <t>焱悠至孟夏</t>
    <phoneticPr fontId="1" type="noConversion"/>
  </si>
  <si>
    <r>
      <rPr>
        <sz val="11"/>
        <color theme="1"/>
        <rFont val="DengXian"/>
        <family val="1"/>
        <charset val="134"/>
      </rPr>
      <t>，</t>
    </r>
    <r>
      <rPr>
        <sz val="11"/>
        <color theme="1"/>
        <rFont val="Times New Roman"/>
        <family val="1"/>
      </rPr>
      <t>TW,T</t>
    </r>
    <phoneticPr fontId="1" type="noConversion"/>
  </si>
  <si>
    <t>中国</t>
    <phoneticPr fontId="1" type="noConversion"/>
  </si>
  <si>
    <t>？</t>
    <phoneticPr fontId="1" type="noConversion"/>
  </si>
  <si>
    <r>
      <rPr>
        <sz val="11"/>
        <color theme="1"/>
        <rFont val="DengXian"/>
        <family val="1"/>
        <charset val="134"/>
      </rPr>
      <t>小东京</t>
    </r>
    <r>
      <rPr>
        <sz val="11"/>
        <color theme="1"/>
        <rFont val="Times New Roman"/>
        <family val="1"/>
      </rPr>
      <t>EX</t>
    </r>
    <phoneticPr fontId="1" type="noConversion"/>
  </si>
  <si>
    <t>ISFJ</t>
    <phoneticPr fontId="1" type="noConversion"/>
  </si>
  <si>
    <t>中国台湾</t>
    <phoneticPr fontId="1" type="noConversion"/>
  </si>
  <si>
    <t>Liz Aoki</t>
    <phoneticPr fontId="1" type="noConversion"/>
  </si>
  <si>
    <t>INTP</t>
    <phoneticPr fontId="1" type="noConversion"/>
  </si>
  <si>
    <t>?</t>
    <phoneticPr fontId="1" type="noConversion"/>
  </si>
  <si>
    <t>中国</t>
    <phoneticPr fontId="1" type="noConversion"/>
  </si>
  <si>
    <r>
      <rPr>
        <b/>
        <sz val="11"/>
        <color theme="1"/>
        <rFont val="DengXian"/>
        <family val="1"/>
        <charset val="134"/>
      </rPr>
      <t>小狼</t>
    </r>
    <r>
      <rPr>
        <b/>
        <sz val="11"/>
        <color theme="1"/>
        <rFont val="Times New Roman"/>
        <family val="1"/>
      </rPr>
      <t>XL</t>
    </r>
    <phoneticPr fontId="1" type="noConversion"/>
  </si>
  <si>
    <t>？</t>
    <phoneticPr fontId="1" type="noConversion"/>
  </si>
  <si>
    <t>ENFJ</t>
    <phoneticPr fontId="1" type="noConversion"/>
  </si>
  <si>
    <t>中国</t>
    <phoneticPr fontId="1" type="noConversion"/>
  </si>
  <si>
    <r>
      <rPr>
        <sz val="11"/>
        <color theme="1"/>
        <rFont val="DengXian"/>
        <family val="1"/>
        <charset val="134"/>
      </rPr>
      <t>砂糖</t>
    </r>
    <r>
      <rPr>
        <sz val="11"/>
        <color theme="1"/>
        <rFont val="Times New Roman"/>
        <family val="1"/>
      </rPr>
      <t>Sato</t>
    </r>
    <phoneticPr fontId="1" type="noConversion"/>
  </si>
  <si>
    <t>ESFJ</t>
    <phoneticPr fontId="1" type="noConversion"/>
  </si>
  <si>
    <t>中国</t>
    <phoneticPr fontId="1" type="noConversion"/>
  </si>
  <si>
    <t>女</t>
    <phoneticPr fontId="1" type="noConversion"/>
  </si>
  <si>
    <t>重复1</t>
    <phoneticPr fontId="1" type="noConversion"/>
  </si>
  <si>
    <t>Lywra</t>
    <phoneticPr fontId="1" type="noConversion"/>
  </si>
  <si>
    <t>?</t>
    <phoneticPr fontId="1" type="noConversion"/>
  </si>
  <si>
    <t>中国</t>
    <phoneticPr fontId="1" type="noConversion"/>
  </si>
  <si>
    <t>ESFP</t>
    <phoneticPr fontId="1" type="noConversion"/>
  </si>
  <si>
    <t>INFJ</t>
    <phoneticPr fontId="1" type="noConversion"/>
  </si>
  <si>
    <t>？</t>
    <phoneticPr fontId="1" type="noConversion"/>
  </si>
  <si>
    <r>
      <t>WEI</t>
    </r>
    <r>
      <rPr>
        <sz val="11"/>
        <color theme="1"/>
        <rFont val="Yu Gothic"/>
        <family val="1"/>
        <charset val="128"/>
      </rPr>
      <t>ひびき</t>
    </r>
    <r>
      <rPr>
        <sz val="11"/>
        <color theme="1"/>
        <rFont val="Times New Roman"/>
        <family val="1"/>
      </rPr>
      <t>WEI</t>
    </r>
    <phoneticPr fontId="1" type="noConversion"/>
  </si>
  <si>
    <t>PaperSakura</t>
    <phoneticPr fontId="1" type="noConversion"/>
  </si>
  <si>
    <t>TW</t>
    <phoneticPr fontId="1" type="noConversion"/>
  </si>
  <si>
    <t>ESTP</t>
    <phoneticPr fontId="1" type="noConversion"/>
  </si>
  <si>
    <t>中国台湾</t>
    <phoneticPr fontId="1" type="noConversion"/>
  </si>
  <si>
    <t>Somnus</t>
    <phoneticPr fontId="1" type="noConversion"/>
  </si>
  <si>
    <t>INTP</t>
    <phoneticPr fontId="1" type="noConversion"/>
  </si>
  <si>
    <t>美国</t>
    <phoneticPr fontId="1" type="noConversion"/>
  </si>
  <si>
    <t>男</t>
    <phoneticPr fontId="1" type="noConversion"/>
  </si>
  <si>
    <t>到处摆烂</t>
    <phoneticPr fontId="1" type="noConversion"/>
  </si>
  <si>
    <t>INFP</t>
    <phoneticPr fontId="1" type="noConversion"/>
  </si>
  <si>
    <t>？</t>
    <phoneticPr fontId="1" type="noConversion"/>
  </si>
  <si>
    <t>中国</t>
    <phoneticPr fontId="1" type="noConversion"/>
  </si>
  <si>
    <t>yuumi</t>
    <phoneticPr fontId="1" type="noConversion"/>
  </si>
  <si>
    <t>INFP</t>
    <phoneticPr fontId="1" type="noConversion"/>
  </si>
  <si>
    <t>t</t>
    <phoneticPr fontId="1" type="noConversion"/>
  </si>
  <si>
    <t>中国</t>
    <phoneticPr fontId="1" type="noConversion"/>
  </si>
  <si>
    <t>？</t>
    <phoneticPr fontId="1" type="noConversion"/>
  </si>
  <si>
    <t>Lilicotta</t>
    <phoneticPr fontId="1" type="noConversion"/>
  </si>
  <si>
    <t>?</t>
    <phoneticPr fontId="1" type="noConversion"/>
  </si>
  <si>
    <t>ISFJ</t>
    <phoneticPr fontId="1" type="noConversion"/>
  </si>
  <si>
    <r>
      <t>EN</t>
    </r>
    <r>
      <rPr>
        <sz val="11"/>
        <color theme="1"/>
        <rFont val="DengXian"/>
        <family val="1"/>
        <charset val="134"/>
      </rPr>
      <t>使用者</t>
    </r>
    <phoneticPr fontId="1" type="noConversion"/>
  </si>
  <si>
    <t>401shio1</t>
    <phoneticPr fontId="1" type="noConversion"/>
  </si>
  <si>
    <t>Latteddisoia</t>
    <phoneticPr fontId="1" type="noConversion"/>
  </si>
  <si>
    <t>ENFP</t>
    <phoneticPr fontId="1" type="noConversion"/>
  </si>
  <si>
    <t>H</t>
    <phoneticPr fontId="1" type="noConversion"/>
  </si>
  <si>
    <t>女</t>
    <phoneticPr fontId="1" type="noConversion"/>
  </si>
  <si>
    <t>中国台湾</t>
    <phoneticPr fontId="1" type="noConversion"/>
  </si>
  <si>
    <t>soysauce</t>
    <phoneticPr fontId="1" type="noConversion"/>
  </si>
  <si>
    <t>ENTP</t>
    <phoneticPr fontId="1" type="noConversion"/>
  </si>
  <si>
    <r>
      <rPr>
        <sz val="11"/>
        <color theme="1"/>
        <rFont val="Microsoft YaHei"/>
        <family val="1"/>
        <charset val="134"/>
      </rPr>
      <t>樱猫的</t>
    </r>
    <r>
      <rPr>
        <sz val="11"/>
        <color theme="1"/>
        <rFont val="Times New Roman"/>
        <family val="1"/>
      </rPr>
      <t>puppy</t>
    </r>
    <phoneticPr fontId="1" type="noConversion"/>
  </si>
  <si>
    <t>男</t>
    <phoneticPr fontId="1" type="noConversion"/>
  </si>
  <si>
    <t>ISFP</t>
    <phoneticPr fontId="1" type="noConversion"/>
  </si>
  <si>
    <t>中国</t>
    <phoneticPr fontId="1" type="noConversion"/>
  </si>
  <si>
    <t>橘子Agoni</t>
    <phoneticPr fontId="1" type="noConversion"/>
  </si>
  <si>
    <t>INFP</t>
    <phoneticPr fontId="1" type="noConversion"/>
  </si>
  <si>
    <t>yaoyaoyaoO3O</t>
    <phoneticPr fontId="1" type="noConversion"/>
  </si>
  <si>
    <t>Friedshrimp0v0</t>
    <phoneticPr fontId="1" type="noConversion"/>
  </si>
  <si>
    <t>ISTP</t>
    <phoneticPr fontId="1" type="noConversion"/>
  </si>
  <si>
    <t>xxchoco</t>
    <phoneticPr fontId="1" type="noConversion"/>
  </si>
  <si>
    <t>中国</t>
    <phoneticPr fontId="1" type="noConversion"/>
  </si>
  <si>
    <t>男</t>
    <phoneticPr fontId="1" type="noConversion"/>
  </si>
  <si>
    <t>破碎吧镜花水月ccki</t>
    <phoneticPr fontId="1" type="noConversion"/>
  </si>
  <si>
    <t>INFP</t>
    <phoneticPr fontId="1" type="noConversion"/>
  </si>
  <si>
    <t>A</t>
    <phoneticPr fontId="1" type="noConversion"/>
  </si>
  <si>
    <t>ISFP</t>
    <phoneticPr fontId="1" type="noConversion"/>
  </si>
  <si>
    <t>怠惰なねこ</t>
    <phoneticPr fontId="1" type="noConversion"/>
  </si>
  <si>
    <t>男</t>
    <phoneticPr fontId="1" type="noConversion"/>
  </si>
  <si>
    <t>中国</t>
    <phoneticPr fontId="1" type="noConversion"/>
  </si>
  <si>
    <t>mineAurora</t>
    <phoneticPr fontId="1" type="noConversion"/>
  </si>
  <si>
    <t>ISFJ</t>
    <phoneticPr fontId="1" type="noConversion"/>
  </si>
  <si>
    <t>中国</t>
    <phoneticPr fontId="1" type="noConversion"/>
  </si>
  <si>
    <t>？</t>
    <phoneticPr fontId="1" type="noConversion"/>
  </si>
  <si>
    <t>Nyagin</t>
    <phoneticPr fontId="1" type="noConversion"/>
  </si>
  <si>
    <t>INFP</t>
    <phoneticPr fontId="1" type="noConversion"/>
  </si>
  <si>
    <t>中国</t>
    <phoneticPr fontId="1" type="noConversion"/>
  </si>
  <si>
    <t>男</t>
    <phoneticPr fontId="1" type="noConversion"/>
  </si>
  <si>
    <t>ISFP</t>
    <phoneticPr fontId="1" type="noConversion"/>
  </si>
  <si>
    <t>?</t>
    <phoneticPr fontId="1" type="noConversion"/>
  </si>
  <si>
    <t>中国</t>
    <phoneticPr fontId="1" type="noConversion"/>
  </si>
  <si>
    <t>北权 0</t>
    <phoneticPr fontId="1" type="noConversion"/>
  </si>
  <si>
    <t>yubinOVO</t>
    <phoneticPr fontId="1" type="noConversion"/>
  </si>
  <si>
    <t>?</t>
    <phoneticPr fontId="1" type="noConversion"/>
  </si>
  <si>
    <t>ENFP</t>
    <phoneticPr fontId="1" type="noConversion"/>
  </si>
  <si>
    <t>中国台湾</t>
    <phoneticPr fontId="1" type="noConversion"/>
  </si>
  <si>
    <r>
      <t>kana</t>
    </r>
    <r>
      <rPr>
        <sz val="11"/>
        <color theme="1"/>
        <rFont val="DengXian"/>
        <family val="1"/>
        <charset val="134"/>
      </rPr>
      <t>小奏</t>
    </r>
    <phoneticPr fontId="1" type="noConversion"/>
  </si>
  <si>
    <t>？</t>
    <phoneticPr fontId="1" type="noConversion"/>
  </si>
  <si>
    <t>zheermon</t>
    <phoneticPr fontId="1" type="noConversion"/>
  </si>
  <si>
    <t>ISTP</t>
    <phoneticPr fontId="1" type="noConversion"/>
  </si>
  <si>
    <t>Bocchi777</t>
    <phoneticPr fontId="1" type="noConversion"/>
  </si>
  <si>
    <t>女</t>
    <phoneticPr fontId="1" type="noConversion"/>
  </si>
  <si>
    <t>INFP</t>
    <phoneticPr fontId="1" type="noConversion"/>
  </si>
  <si>
    <t>中国</t>
    <phoneticPr fontId="1" type="noConversion"/>
  </si>
  <si>
    <t>INFJ</t>
    <phoneticPr fontId="1" type="noConversion"/>
  </si>
  <si>
    <t>?</t>
    <phoneticPr fontId="1" type="noConversion"/>
  </si>
  <si>
    <t>千凌 ddb6</t>
    <phoneticPr fontId="1" type="noConversion"/>
  </si>
  <si>
    <r>
      <t>T</t>
    </r>
    <r>
      <rPr>
        <sz val="11"/>
        <color theme="1"/>
        <rFont val="DengXian"/>
        <family val="1"/>
        <charset val="134"/>
      </rPr>
      <t>，重复一次</t>
    </r>
    <phoneticPr fontId="1" type="noConversion"/>
  </si>
  <si>
    <t>重复一次。救病成医型。</t>
    <phoneticPr fontId="1" type="noConversion"/>
  </si>
  <si>
    <t>中国</t>
    <phoneticPr fontId="1" type="noConversion"/>
  </si>
  <si>
    <t>MY-mio</t>
    <phoneticPr fontId="1" type="noConversion"/>
  </si>
  <si>
    <t>ISTP</t>
    <phoneticPr fontId="1" type="noConversion"/>
  </si>
  <si>
    <t>?</t>
    <phoneticPr fontId="1" type="noConversion"/>
  </si>
  <si>
    <r>
      <rPr>
        <sz val="11"/>
        <color theme="1"/>
        <rFont val="Yu Gothic"/>
        <family val="1"/>
        <charset val="128"/>
      </rPr>
      <t>みかん</t>
    </r>
    <r>
      <rPr>
        <sz val="11"/>
        <color theme="1"/>
        <rFont val="DengXian"/>
        <family val="1"/>
        <charset val="134"/>
      </rPr>
      <t>-</t>
    </r>
    <r>
      <rPr>
        <sz val="11"/>
        <color theme="1"/>
        <rFont val="Times New Roman"/>
        <family val="1"/>
      </rPr>
      <t>mikan-</t>
    </r>
    <phoneticPr fontId="1" type="noConversion"/>
  </si>
  <si>
    <t>ISFP</t>
    <phoneticPr fontId="1" type="noConversion"/>
  </si>
  <si>
    <r>
      <rPr>
        <sz val="11"/>
        <color theme="1"/>
        <rFont val="DengXian"/>
        <family val="1"/>
        <charset val="134"/>
      </rPr>
      <t>鹿鹿</t>
    </r>
    <r>
      <rPr>
        <sz val="11"/>
        <color theme="1"/>
        <rFont val="Times New Roman"/>
        <family val="1"/>
      </rPr>
      <t>Kcytip</t>
    </r>
    <phoneticPr fontId="1" type="noConversion"/>
  </si>
  <si>
    <t>ISFJ</t>
    <phoneticPr fontId="1" type="noConversion"/>
  </si>
  <si>
    <t>蓝蓝蓝蓝</t>
    <phoneticPr fontId="1" type="noConversion"/>
  </si>
  <si>
    <t>INFP</t>
    <phoneticPr fontId="1" type="noConversion"/>
  </si>
  <si>
    <t>女</t>
    <phoneticPr fontId="1" type="noConversion"/>
  </si>
  <si>
    <t>中国</t>
    <phoneticPr fontId="1" type="noConversion"/>
  </si>
  <si>
    <t>有男朋友</t>
    <phoneticPr fontId="1" type="noConversion"/>
  </si>
  <si>
    <t>重复一次。重复两次。树文好友</t>
    <phoneticPr fontId="1" type="noConversion"/>
  </si>
  <si>
    <t>INTP</t>
    <phoneticPr fontId="1" type="noConversion"/>
  </si>
  <si>
    <r>
      <rPr>
        <sz val="11"/>
        <color theme="1"/>
        <rFont val="DengXian"/>
        <family val="1"/>
        <charset val="134"/>
      </rPr>
      <t>水无</t>
    </r>
    <r>
      <rPr>
        <sz val="11"/>
        <color theme="1"/>
        <rFont val="Times New Roman"/>
        <family val="1"/>
      </rPr>
      <t xml:space="preserve">tsuki </t>
    </r>
    <r>
      <rPr>
        <sz val="11"/>
        <color theme="1"/>
        <rFont val="DengXian"/>
        <family val="1"/>
        <charset val="134"/>
      </rPr>
      <t>镜</t>
    </r>
    <phoneticPr fontId="1" type="noConversion"/>
  </si>
  <si>
    <t>男</t>
    <phoneticPr fontId="1" type="noConversion"/>
  </si>
  <si>
    <t>中国</t>
    <phoneticPr fontId="1" type="noConversion"/>
  </si>
  <si>
    <t>INTP</t>
    <phoneticPr fontId="1" type="noConversion"/>
  </si>
  <si>
    <t>Banana cat</t>
    <phoneticPr fontId="1" type="noConversion"/>
  </si>
  <si>
    <t>男</t>
    <phoneticPr fontId="1" type="noConversion"/>
  </si>
  <si>
    <t>中国台湾</t>
    <phoneticPr fontId="1" type="noConversion"/>
  </si>
  <si>
    <t>中国</t>
    <phoneticPr fontId="1" type="noConversion"/>
  </si>
  <si>
    <t>INFJ</t>
    <phoneticPr fontId="1" type="noConversion"/>
  </si>
  <si>
    <t>Lutoki</t>
    <phoneticPr fontId="1" type="noConversion"/>
  </si>
  <si>
    <t>女</t>
    <phoneticPr fontId="1" type="noConversion"/>
  </si>
  <si>
    <t>A</t>
    <phoneticPr fontId="1" type="noConversion"/>
  </si>
  <si>
    <r>
      <rPr>
        <sz val="11"/>
        <color theme="1"/>
        <rFont val="DengXian"/>
        <family val="1"/>
        <charset val="134"/>
      </rPr>
      <t>盘盘-</t>
    </r>
    <r>
      <rPr>
        <sz val="11"/>
        <color theme="1"/>
        <rFont val="Times New Roman"/>
        <family val="1"/>
      </rPr>
      <t>panpan</t>
    </r>
    <phoneticPr fontId="1" type="noConversion"/>
  </si>
  <si>
    <t>ISFP</t>
    <phoneticPr fontId="1" type="noConversion"/>
  </si>
  <si>
    <t>在美国</t>
    <phoneticPr fontId="1" type="noConversion"/>
  </si>
  <si>
    <t>Big Vy</t>
    <phoneticPr fontId="1" type="noConversion"/>
  </si>
  <si>
    <t>INTJ</t>
    <phoneticPr fontId="1" type="noConversion"/>
  </si>
  <si>
    <t>T</t>
    <phoneticPr fontId="1" type="noConversion"/>
  </si>
  <si>
    <t>Hana</t>
    <phoneticPr fontId="1" type="noConversion"/>
  </si>
  <si>
    <t>ENTP</t>
    <phoneticPr fontId="1" type="noConversion"/>
  </si>
  <si>
    <t>中国</t>
    <phoneticPr fontId="1" type="noConversion"/>
  </si>
  <si>
    <t>？</t>
    <phoneticPr fontId="1" type="noConversion"/>
  </si>
  <si>
    <t>12000h</t>
    <phoneticPr fontId="1" type="noConversion"/>
  </si>
  <si>
    <r>
      <rPr>
        <sz val="11"/>
        <color theme="1"/>
        <rFont val="Microsoft YaHei"/>
        <family val="1"/>
        <charset val="134"/>
      </rPr>
      <t>红推</t>
    </r>
    <r>
      <rPr>
        <sz val="11"/>
        <color theme="1"/>
        <rFont val="Times New Roman"/>
        <family val="1"/>
      </rPr>
      <t>redddd</t>
    </r>
    <phoneticPr fontId="1" type="noConversion"/>
  </si>
  <si>
    <t xml:space="preserve"> ISFP</t>
    <phoneticPr fontId="1" type="noConversion"/>
  </si>
  <si>
    <t>ENFP</t>
    <phoneticPr fontId="1" type="noConversion"/>
  </si>
  <si>
    <t>Ranaaaa</t>
    <phoneticPr fontId="1" type="noConversion"/>
  </si>
  <si>
    <t>中国</t>
    <phoneticPr fontId="1" type="noConversion"/>
  </si>
  <si>
    <t>Xinhui_813QAQ</t>
    <phoneticPr fontId="1" type="noConversion"/>
  </si>
  <si>
    <t>男</t>
    <phoneticPr fontId="1" type="noConversion"/>
  </si>
  <si>
    <t>女</t>
    <phoneticPr fontId="1" type="noConversion"/>
  </si>
  <si>
    <t>HltoMo</t>
    <phoneticPr fontId="1" type="noConversion"/>
  </si>
  <si>
    <t>INTJ</t>
    <phoneticPr fontId="1" type="noConversion"/>
  </si>
  <si>
    <t>重复1</t>
    <phoneticPr fontId="1" type="noConversion"/>
  </si>
  <si>
    <r>
      <rPr>
        <sz val="11"/>
        <color theme="1"/>
        <rFont val="Microsoft YaHei"/>
        <family val="1"/>
        <charset val="134"/>
      </rPr>
      <t>咲穗</t>
    </r>
    <r>
      <rPr>
        <sz val="11"/>
        <color theme="1"/>
        <rFont val="Times New Roman"/>
        <family val="1"/>
      </rPr>
      <t>_sakuH0</t>
    </r>
    <phoneticPr fontId="1" type="noConversion"/>
  </si>
  <si>
    <t>男</t>
    <phoneticPr fontId="1" type="noConversion"/>
  </si>
  <si>
    <t>ISTJ</t>
    <phoneticPr fontId="1" type="noConversion"/>
  </si>
  <si>
    <t>中国</t>
    <phoneticPr fontId="1" type="noConversion"/>
  </si>
  <si>
    <t>目前新西兰在住。会弹钢琴，喜乐队。</t>
    <phoneticPr fontId="1" type="noConversion"/>
  </si>
  <si>
    <t>Epiphany</t>
    <phoneticPr fontId="1" type="noConversion"/>
  </si>
  <si>
    <t>男</t>
    <phoneticPr fontId="1" type="noConversion"/>
  </si>
  <si>
    <t>ENTJ</t>
    <phoneticPr fontId="1" type="noConversion"/>
  </si>
  <si>
    <t>中国</t>
    <phoneticPr fontId="1" type="noConversion"/>
  </si>
  <si>
    <t>zwn007</t>
    <phoneticPr fontId="1" type="noConversion"/>
  </si>
  <si>
    <t>INFP</t>
    <phoneticPr fontId="1" type="noConversion"/>
  </si>
  <si>
    <t>中国</t>
    <phoneticPr fontId="1" type="noConversion"/>
  </si>
  <si>
    <t>男</t>
    <phoneticPr fontId="1" type="noConversion"/>
  </si>
  <si>
    <t>Azelia_YZX</t>
    <phoneticPr fontId="1" type="noConversion"/>
  </si>
  <si>
    <t>情绪输出，嘴臭</t>
    <phoneticPr fontId="1" type="noConversion"/>
  </si>
  <si>
    <r>
      <t>Mirai</t>
    </r>
    <r>
      <rPr>
        <sz val="11"/>
        <color theme="1"/>
        <rFont val="DengXian"/>
        <family val="1"/>
        <charset val="134"/>
      </rPr>
      <t>、</t>
    </r>
    <phoneticPr fontId="1" type="noConversion"/>
  </si>
  <si>
    <t>养一只猫星人</t>
    <phoneticPr fontId="1" type="noConversion"/>
  </si>
  <si>
    <t>zRepiEx</t>
    <phoneticPr fontId="1" type="noConversion"/>
  </si>
  <si>
    <r>
      <t>A</t>
    </r>
    <r>
      <rPr>
        <sz val="11"/>
        <color theme="1"/>
        <rFont val="DengXian"/>
        <family val="1"/>
        <charset val="134"/>
      </rPr>
      <t>，</t>
    </r>
    <r>
      <rPr>
        <sz val="11"/>
        <color theme="1"/>
        <rFont val="Times New Roman"/>
        <family val="1"/>
      </rPr>
      <t>en</t>
    </r>
    <r>
      <rPr>
        <sz val="11"/>
        <color theme="1"/>
        <rFont val="DengXian"/>
        <family val="1"/>
        <charset val="134"/>
      </rPr>
      <t>使用者</t>
    </r>
    <phoneticPr fontId="1" type="noConversion"/>
  </si>
  <si>
    <r>
      <t>sofe</t>
    </r>
    <r>
      <rPr>
        <sz val="11"/>
        <color theme="1"/>
        <rFont val="Microsoft YaHei"/>
        <family val="1"/>
        <charset val="134"/>
      </rPr>
      <t>苏菲</t>
    </r>
    <phoneticPr fontId="1" type="noConversion"/>
  </si>
  <si>
    <t>·Echo·</t>
    <phoneticPr fontId="1" type="noConversion"/>
  </si>
  <si>
    <r>
      <t>KTV</t>
    </r>
    <r>
      <rPr>
        <sz val="10"/>
        <color theme="1"/>
        <rFont val="DengXian"/>
        <family val="1"/>
        <charset val="134"/>
      </rPr>
      <t>常客，重复一次</t>
    </r>
    <phoneticPr fontId="1" type="noConversion"/>
  </si>
  <si>
    <t>天才美少女小甜</t>
    <phoneticPr fontId="1" type="noConversion"/>
  </si>
  <si>
    <t>TinTin</t>
    <phoneticPr fontId="1" type="noConversion"/>
  </si>
  <si>
    <t>Sky of Starts</t>
    <phoneticPr fontId="1" type="noConversion"/>
  </si>
  <si>
    <r>
      <rPr>
        <sz val="11"/>
        <color theme="1"/>
        <rFont val="DengXian"/>
        <family val="1"/>
        <charset val="134"/>
      </rPr>
      <t>卡密</t>
    </r>
    <r>
      <rPr>
        <sz val="11"/>
        <color theme="1"/>
        <rFont val="Times New Roman"/>
        <family val="1"/>
      </rPr>
      <t>QwQ</t>
    </r>
    <phoneticPr fontId="1" type="noConversion"/>
  </si>
  <si>
    <t>全身，喜打字，全身，跳舞房，观察</t>
    <phoneticPr fontId="1" type="noConversion"/>
  </si>
  <si>
    <t>早起上班</t>
    <phoneticPr fontId="1" type="noConversion"/>
  </si>
  <si>
    <r>
      <rPr>
        <sz val="11"/>
        <color theme="1"/>
        <rFont val="DengXian"/>
        <family val="1"/>
        <charset val="134"/>
      </rPr>
      <t>路人</t>
    </r>
    <r>
      <rPr>
        <sz val="11"/>
        <color theme="1"/>
        <rFont val="Times New Roman"/>
        <family val="1"/>
      </rPr>
      <t>A</t>
    </r>
    <phoneticPr fontId="1" type="noConversion"/>
  </si>
  <si>
    <t>下意识靠近的人“幼稚园”、牛马俱乐部</t>
    <phoneticPr fontId="1" type="noConversion"/>
  </si>
  <si>
    <t>IXTP</t>
    <phoneticPr fontId="1" type="noConversion"/>
  </si>
  <si>
    <r>
      <t>A</t>
    </r>
    <r>
      <rPr>
        <sz val="10"/>
        <color theme="1"/>
        <rFont val="DengXian"/>
        <family val="1"/>
        <charset val="134"/>
      </rPr>
      <t>。已屏蔽。根本矛盾，对方心理功能混乱，精神不稳，使得不可调和的外在行为无法满足双方主导功能，</t>
    </r>
    <r>
      <rPr>
        <sz val="10"/>
        <color theme="1"/>
        <rFont val="Times New Roman"/>
        <family val="1"/>
      </rPr>
      <t>Fe</t>
    </r>
    <r>
      <rPr>
        <sz val="10"/>
        <color theme="1"/>
        <rFont val="DengXian"/>
        <family val="1"/>
        <charset val="134"/>
      </rPr>
      <t>和Ti的根本需求。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</si>
</sst>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Microsoft YaHei"/>
      <family val="2"/>
      <charset val="134"/>
    </font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等线"/>
      <family val="2"/>
    </font>
    <font>
      <sz val="11"/>
      <color theme="1"/>
      <name val="等线"/>
      <family val="1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color theme="1"/>
      <name val="Times New Roman"/>
      <family val="2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rgb="FF00B0F0"/>
      <name val="Times New Roman"/>
      <family val="1"/>
    </font>
    <font>
      <sz val="11"/>
      <color theme="7"/>
      <name val="Times New Roman"/>
      <family val="1"/>
    </font>
    <font>
      <sz val="11"/>
      <color theme="9"/>
      <name val="Times New Roman"/>
      <family val="1"/>
    </font>
    <font>
      <sz val="11"/>
      <color rgb="FF00B050"/>
      <name val="Times New Roman"/>
      <family val="1"/>
    </font>
    <font>
      <sz val="11"/>
      <color rgb="FF7030A0"/>
      <name val="Times New Roman"/>
      <family val="1"/>
    </font>
    <font>
      <sz val="11"/>
      <color rgb="FFFFC000"/>
      <name val="Times New Roman"/>
      <family val="1"/>
    </font>
    <font>
      <sz val="11"/>
      <color theme="1"/>
      <name val="Calibri"/>
      <family val="1"/>
      <charset val="161"/>
    </font>
    <font>
      <sz val="11"/>
      <color theme="1"/>
      <name val="微软雅黑"/>
      <family val="1"/>
      <charset val="134"/>
    </font>
    <font>
      <sz val="11"/>
      <color theme="1"/>
      <name val="Yu Gothic"/>
      <family val="1"/>
      <charset val="128"/>
    </font>
    <font>
      <sz val="10"/>
      <color theme="1"/>
      <name val="宋体"/>
      <family val="1"/>
      <charset val="134"/>
    </font>
    <font>
      <sz val="10"/>
      <color theme="1"/>
      <name val="Times New Roman"/>
      <family val="1"/>
      <charset val="134"/>
    </font>
    <font>
      <sz val="10"/>
      <color rgb="FFFF0000"/>
      <name val="Microsoft YaHei"/>
      <family val="2"/>
      <charset val="134"/>
    </font>
    <font>
      <sz val="10"/>
      <color rgb="FFFF0000"/>
      <name val="Times New Roman"/>
      <family val="1"/>
    </font>
    <font>
      <sz val="11"/>
      <color rgb="FFFF0000"/>
      <name val="Times New Roman"/>
      <family val="1"/>
      <charset val="134"/>
    </font>
    <font>
      <sz val="11"/>
      <color rgb="FFFF0000"/>
      <name val="宋体"/>
      <family val="1"/>
      <charset val="134"/>
    </font>
    <font>
      <sz val="11"/>
      <color theme="1"/>
      <name val="宋体"/>
      <family val="3"/>
      <charset val="134"/>
    </font>
    <font>
      <sz val="11"/>
      <color theme="4"/>
      <name val="Times New Roman"/>
      <family val="1"/>
    </font>
    <font>
      <sz val="11"/>
      <color theme="1"/>
      <name val="Microsoft YaHei UI"/>
      <family val="1"/>
      <charset val="134"/>
    </font>
    <font>
      <sz val="11"/>
      <color theme="1"/>
      <name val="DengXian"/>
      <family val="1"/>
      <charset val="134"/>
    </font>
    <font>
      <sz val="11"/>
      <color theme="1"/>
      <name val="Microsoft YaHei"/>
      <family val="1"/>
      <charset val="134"/>
    </font>
    <font>
      <sz val="10"/>
      <color theme="1"/>
      <name val="DengXian"/>
      <family val="1"/>
      <charset val="134"/>
    </font>
    <font>
      <b/>
      <sz val="11"/>
      <color theme="1"/>
      <name val="Times New Roman"/>
      <family val="1"/>
    </font>
    <font>
      <b/>
      <sz val="11"/>
      <color theme="1"/>
      <name val="DengXian"/>
      <family val="1"/>
      <charset val="134"/>
    </font>
    <font>
      <b/>
      <sz val="11"/>
      <color theme="1"/>
      <name val="Times New Roman"/>
      <family val="1"/>
      <charset val="134"/>
    </font>
    <font>
      <sz val="11"/>
      <color theme="1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0" fontId="4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0" fontId="4" fillId="0" borderId="0" xfId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0" fontId="13" fillId="0" borderId="0" xfId="1" applyNumberFormat="1" applyFont="1" applyAlignment="1">
      <alignment horizontal="center"/>
    </xf>
    <xf numFmtId="10" fontId="11" fillId="0" borderId="0" xfId="1" applyNumberFormat="1" applyFont="1" applyAlignment="1">
      <alignment horizontal="center"/>
    </xf>
    <xf numFmtId="10" fontId="18" fillId="0" borderId="0" xfId="1" applyNumberFormat="1" applyFont="1" applyAlignment="1">
      <alignment horizontal="center"/>
    </xf>
    <xf numFmtId="10" fontId="15" fillId="0" borderId="0" xfId="1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0" fontId="16" fillId="0" borderId="0" xfId="1" applyNumberFormat="1" applyFont="1" applyAlignment="1">
      <alignment horizontal="center"/>
    </xf>
    <xf numFmtId="10" fontId="12" fillId="0" borderId="0" xfId="1" applyNumberFormat="1" applyFont="1" applyAlignment="1">
      <alignment horizontal="center"/>
    </xf>
    <xf numFmtId="10" fontId="14" fillId="0" borderId="0" xfId="1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10" fontId="29" fillId="0" borderId="0" xfId="0" applyNumberFormat="1" applyFont="1" applyAlignment="1">
      <alignment horizontal="center"/>
    </xf>
    <xf numFmtId="10" fontId="17" fillId="0" borderId="0" xfId="1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2">
    <cellStyle name="百分比" xfId="1" builtinId="5"/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Vrchat </a:t>
            </a:r>
            <a:r>
              <a:rPr lang="zh-CN" altLang="en-US"/>
              <a:t>中文区 </a:t>
            </a:r>
            <a:r>
              <a:rPr lang="en-US" altLang="zh-CN"/>
              <a:t>MBTI </a:t>
            </a:r>
            <a:r>
              <a:rPr lang="zh-CN" altLang="en-US"/>
              <a:t>类型分布与排序 与现实的对比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vrchat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B7-4D9A-985C-F3BFACEA5852}"/>
              </c:ext>
            </c:extLst>
          </c:dPt>
          <c:cat>
            <c:strRef>
              <c:f>Sheet1!$J$25:$J$40</c:f>
              <c:strCache>
                <c:ptCount val="16"/>
                <c:pt idx="0">
                  <c:v>INFP</c:v>
                </c:pt>
                <c:pt idx="1">
                  <c:v>INTP</c:v>
                </c:pt>
                <c:pt idx="2">
                  <c:v>ISFP</c:v>
                </c:pt>
                <c:pt idx="3">
                  <c:v>INFJ</c:v>
                </c:pt>
                <c:pt idx="4">
                  <c:v>ENFP</c:v>
                </c:pt>
                <c:pt idx="5">
                  <c:v>ISFJ</c:v>
                </c:pt>
                <c:pt idx="6">
                  <c:v>INTJ</c:v>
                </c:pt>
                <c:pt idx="7">
                  <c:v>ENFJ</c:v>
                </c:pt>
                <c:pt idx="8">
                  <c:v>ENTP</c:v>
                </c:pt>
                <c:pt idx="9">
                  <c:v>ESFP</c:v>
                </c:pt>
                <c:pt idx="10">
                  <c:v>ISTP</c:v>
                </c:pt>
                <c:pt idx="11">
                  <c:v>ISTJ</c:v>
                </c:pt>
                <c:pt idx="12">
                  <c:v>ESTJ</c:v>
                </c:pt>
                <c:pt idx="13">
                  <c:v>ENTJ</c:v>
                </c:pt>
                <c:pt idx="14">
                  <c:v>ESFJ</c:v>
                </c:pt>
                <c:pt idx="15">
                  <c:v>ESTP</c:v>
                </c:pt>
              </c:strCache>
            </c:strRef>
          </c:cat>
          <c:val>
            <c:numRef>
              <c:f>Sheet1!$L$25:$L$40</c:f>
              <c:numCache>
                <c:formatCode>0.00%</c:formatCode>
                <c:ptCount val="16"/>
                <c:pt idx="0">
                  <c:v>0.23510971786833856</c:v>
                </c:pt>
                <c:pt idx="1">
                  <c:v>0.109717868338558</c:v>
                </c:pt>
                <c:pt idx="2">
                  <c:v>0.10344827586206896</c:v>
                </c:pt>
                <c:pt idx="3">
                  <c:v>9.4043887147335428E-2</c:v>
                </c:pt>
                <c:pt idx="4">
                  <c:v>8.1504702194357362E-2</c:v>
                </c:pt>
                <c:pt idx="5">
                  <c:v>5.9561128526645767E-2</c:v>
                </c:pt>
                <c:pt idx="6">
                  <c:v>5.0156739811912224E-2</c:v>
                </c:pt>
                <c:pt idx="7">
                  <c:v>4.3887147335423198E-2</c:v>
                </c:pt>
                <c:pt idx="8">
                  <c:v>3.7617554858934171E-2</c:v>
                </c:pt>
                <c:pt idx="9">
                  <c:v>3.7617554858934171E-2</c:v>
                </c:pt>
                <c:pt idx="10">
                  <c:v>3.4482758620689655E-2</c:v>
                </c:pt>
                <c:pt idx="11">
                  <c:v>2.8213166144200628E-2</c:v>
                </c:pt>
                <c:pt idx="12">
                  <c:v>2.5078369905956112E-2</c:v>
                </c:pt>
                <c:pt idx="13">
                  <c:v>2.1943573667711599E-2</c:v>
                </c:pt>
                <c:pt idx="14">
                  <c:v>1.8808777429467086E-2</c:v>
                </c:pt>
                <c:pt idx="15">
                  <c:v>1.8808777429467086E-2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8-4AFF-A0DE-76E6D40AA38F}"/>
            </c:ext>
          </c:extLst>
        </c:ser>
        <c:ser>
          <c:idx val="1"/>
          <c:order val="1"/>
          <c:tx>
            <c:v>现实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Sheet1!$M$25:$M$40</c:f>
              <c:numCache>
                <c:formatCode>0.00%</c:formatCode>
                <c:ptCount val="16"/>
                <c:pt idx="0">
                  <c:v>0.1062</c:v>
                </c:pt>
                <c:pt idx="1">
                  <c:v>5.7099999999999998E-2</c:v>
                </c:pt>
                <c:pt idx="2">
                  <c:v>8.4099999999999994E-2</c:v>
                </c:pt>
                <c:pt idx="3">
                  <c:v>5.6000000000000001E-2</c:v>
                </c:pt>
                <c:pt idx="4">
                  <c:v>9.4299999999999995E-2</c:v>
                </c:pt>
                <c:pt idx="5">
                  <c:v>9.5200000000000007E-2</c:v>
                </c:pt>
                <c:pt idx="6">
                  <c:v>3.7400000000000003E-2</c:v>
                </c:pt>
                <c:pt idx="7">
                  <c:v>5.6899999999999999E-2</c:v>
                </c:pt>
                <c:pt idx="8">
                  <c:v>4.3499999999999997E-2</c:v>
                </c:pt>
                <c:pt idx="9">
                  <c:v>6.8099999999999994E-2</c:v>
                </c:pt>
                <c:pt idx="10">
                  <c:v>3.5900000000000001E-2</c:v>
                </c:pt>
                <c:pt idx="11">
                  <c:v>4.7399999999999998E-2</c:v>
                </c:pt>
                <c:pt idx="12">
                  <c:v>5.4100000000000002E-2</c:v>
                </c:pt>
                <c:pt idx="13">
                  <c:v>3.0300000000000001E-2</c:v>
                </c:pt>
                <c:pt idx="14">
                  <c:v>0.10150000000000001</c:v>
                </c:pt>
                <c:pt idx="15">
                  <c:v>3.2000000000000001E-2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79-4C77-BC6C-A76398452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80927"/>
        <c:axId val="996583327"/>
      </c:barChart>
      <c:catAx>
        <c:axId val="996580927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3327"/>
        <c:crosses val="autoZero"/>
        <c:auto val="1"/>
        <c:lblAlgn val="ctr"/>
        <c:lblOffset val="100"/>
        <c:noMultiLvlLbl val="0"/>
      </c:catAx>
      <c:valAx>
        <c:axId val="9965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Vrchat MBTI </a:t>
            </a:r>
            <a:r>
              <a:rPr lang="zh-CN" altLang="en-US"/>
              <a:t>伏特加</a:t>
            </a:r>
            <a:r>
              <a:rPr lang="en-US" altLang="zh-C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vrchat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Sheet1!$J$25:$J$40</c:f>
              <c:strCache>
                <c:ptCount val="16"/>
                <c:pt idx="0">
                  <c:v>INFP</c:v>
                </c:pt>
                <c:pt idx="1">
                  <c:v>INTP</c:v>
                </c:pt>
                <c:pt idx="2">
                  <c:v>ISFP</c:v>
                </c:pt>
                <c:pt idx="3">
                  <c:v>INFJ</c:v>
                </c:pt>
                <c:pt idx="4">
                  <c:v>ENFP</c:v>
                </c:pt>
                <c:pt idx="5">
                  <c:v>ISFJ</c:v>
                </c:pt>
                <c:pt idx="6">
                  <c:v>INTJ</c:v>
                </c:pt>
                <c:pt idx="7">
                  <c:v>ENFJ</c:v>
                </c:pt>
                <c:pt idx="8">
                  <c:v>ENTP</c:v>
                </c:pt>
                <c:pt idx="9">
                  <c:v>ESFP</c:v>
                </c:pt>
                <c:pt idx="10">
                  <c:v>ISTP</c:v>
                </c:pt>
                <c:pt idx="11">
                  <c:v>ISTJ</c:v>
                </c:pt>
                <c:pt idx="12">
                  <c:v>ESTJ</c:v>
                </c:pt>
                <c:pt idx="13">
                  <c:v>ENTJ</c:v>
                </c:pt>
                <c:pt idx="14">
                  <c:v>ESFJ</c:v>
                </c:pt>
                <c:pt idx="15">
                  <c:v>ESTP</c:v>
                </c:pt>
              </c:strCache>
            </c:strRef>
          </c:cat>
          <c:val>
            <c:numRef>
              <c:f>Sheet1!$L$25:$L$40</c:f>
              <c:numCache>
                <c:formatCode>0.00%</c:formatCode>
                <c:ptCount val="16"/>
                <c:pt idx="0">
                  <c:v>0.23510971786833856</c:v>
                </c:pt>
                <c:pt idx="1">
                  <c:v>0.109717868338558</c:v>
                </c:pt>
                <c:pt idx="2">
                  <c:v>0.10344827586206896</c:v>
                </c:pt>
                <c:pt idx="3">
                  <c:v>9.4043887147335428E-2</c:v>
                </c:pt>
                <c:pt idx="4">
                  <c:v>8.1504702194357362E-2</c:v>
                </c:pt>
                <c:pt idx="5">
                  <c:v>5.9561128526645767E-2</c:v>
                </c:pt>
                <c:pt idx="6">
                  <c:v>5.0156739811912224E-2</c:v>
                </c:pt>
                <c:pt idx="7">
                  <c:v>4.3887147335423198E-2</c:v>
                </c:pt>
                <c:pt idx="8">
                  <c:v>3.7617554858934171E-2</c:v>
                </c:pt>
                <c:pt idx="9">
                  <c:v>3.7617554858934171E-2</c:v>
                </c:pt>
                <c:pt idx="10">
                  <c:v>3.4482758620689655E-2</c:v>
                </c:pt>
                <c:pt idx="11">
                  <c:v>2.8213166144200628E-2</c:v>
                </c:pt>
                <c:pt idx="12">
                  <c:v>2.5078369905956112E-2</c:v>
                </c:pt>
                <c:pt idx="13">
                  <c:v>2.1943573667711599E-2</c:v>
                </c:pt>
                <c:pt idx="14">
                  <c:v>1.8808777429467086E-2</c:v>
                </c:pt>
                <c:pt idx="15">
                  <c:v>1.8808777429467086E-2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F-4357-9685-68162D9F6AF5}"/>
            </c:ext>
          </c:extLst>
        </c:ser>
        <c:ser>
          <c:idx val="1"/>
          <c:order val="1"/>
          <c:tx>
            <c:v>伏特加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Sheet1!$Q$25:$Q$40</c:f>
              <c:numCache>
                <c:formatCode>0%</c:formatCode>
                <c:ptCount val="16"/>
                <c:pt idx="0" formatCode="0.00%">
                  <c:v>0.33333333333333298</c:v>
                </c:pt>
                <c:pt idx="1">
                  <c:v>0.1</c:v>
                </c:pt>
                <c:pt idx="2">
                  <c:v>0</c:v>
                </c:pt>
                <c:pt idx="3">
                  <c:v>0</c:v>
                </c:pt>
                <c:pt idx="4" formatCode="0.00%">
                  <c:v>0.233333333333333</c:v>
                </c:pt>
                <c:pt idx="5" formatCode="0.00%">
                  <c:v>0.1</c:v>
                </c:pt>
                <c:pt idx="6">
                  <c:v>0.1</c:v>
                </c:pt>
                <c:pt idx="7" formatCode="General">
                  <c:v>0</c:v>
                </c:pt>
                <c:pt idx="8" formatCode="0.00%">
                  <c:v>3.3333333333333298E-2</c:v>
                </c:pt>
                <c:pt idx="9" formatCode="General">
                  <c:v>0</c:v>
                </c:pt>
                <c:pt idx="10" formatCode="0.00%">
                  <c:v>3.3333333333333298E-2</c:v>
                </c:pt>
                <c:pt idx="11" formatCode="General">
                  <c:v>0</c:v>
                </c:pt>
                <c:pt idx="12" formatCode="0.00%">
                  <c:v>3.3333333333333298E-2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F-4357-9685-68162D9F6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80927"/>
        <c:axId val="996583327"/>
      </c:barChart>
      <c:catAx>
        <c:axId val="996580927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3327"/>
        <c:crosses val="autoZero"/>
        <c:auto val="1"/>
        <c:lblAlgn val="ctr"/>
        <c:lblOffset val="100"/>
        <c:noMultiLvlLbl val="0"/>
      </c:catAx>
      <c:valAx>
        <c:axId val="9965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400" b="0" i="0" u="none" strike="noStrike" baseline="0">
                <a:effectLst/>
              </a:rPr>
              <a:t>VRChat </a:t>
            </a:r>
            <a:r>
              <a:rPr lang="zh-CN" altLang="en-US" sz="1400" b="0" i="0" u="none" strike="noStrike" baseline="0">
                <a:effectLst/>
              </a:rPr>
              <a:t>中文区 </a:t>
            </a:r>
            <a:r>
              <a:rPr lang="en-US" altLang="zh-CN" sz="1400" b="0" i="0" u="none" strike="noStrike" baseline="0">
                <a:effectLst/>
              </a:rPr>
              <a:t>MBTI</a:t>
            </a:r>
            <a:r>
              <a:rPr lang="zh-CN" altLang="en-US" sz="1400" b="0" i="0" u="none" strike="noStrike" baseline="0">
                <a:effectLst/>
              </a:rPr>
              <a:t>类型分布 与现实的差异排序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8390678703011261E-2"/>
          <c:y val="0.24144216582486983"/>
          <c:w val="0.88460344379735023"/>
          <c:h val="0.69039766118392809"/>
        </c:manualLayout>
      </c:layout>
      <c:barChart>
        <c:barDir val="col"/>
        <c:grouping val="clustered"/>
        <c:varyColors val="0"/>
        <c:ser>
          <c:idx val="1"/>
          <c:order val="0"/>
          <c:tx>
            <c:v>对比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Sheet1!$J$73:$J$88</c:f>
              <c:strCache>
                <c:ptCount val="16"/>
                <c:pt idx="0">
                  <c:v>INFP</c:v>
                </c:pt>
                <c:pt idx="1">
                  <c:v>INTP</c:v>
                </c:pt>
                <c:pt idx="2">
                  <c:v>INFJ</c:v>
                </c:pt>
                <c:pt idx="3">
                  <c:v>ISFP</c:v>
                </c:pt>
                <c:pt idx="4">
                  <c:v>INTJ</c:v>
                </c:pt>
                <c:pt idx="5">
                  <c:v>ISTP</c:v>
                </c:pt>
                <c:pt idx="6">
                  <c:v>ENTP</c:v>
                </c:pt>
                <c:pt idx="7">
                  <c:v>ENTJ</c:v>
                </c:pt>
                <c:pt idx="8">
                  <c:v>ENFP</c:v>
                </c:pt>
                <c:pt idx="9">
                  <c:v>ENFJ</c:v>
                </c:pt>
                <c:pt idx="10">
                  <c:v>ESTP</c:v>
                </c:pt>
                <c:pt idx="11">
                  <c:v>ISTJ</c:v>
                </c:pt>
                <c:pt idx="12">
                  <c:v>ESTJ</c:v>
                </c:pt>
                <c:pt idx="13">
                  <c:v>ESFP</c:v>
                </c:pt>
                <c:pt idx="14">
                  <c:v>ISFJ</c:v>
                </c:pt>
                <c:pt idx="15">
                  <c:v>ESFJ</c:v>
                </c:pt>
              </c:strCache>
            </c:strRef>
          </c:cat>
          <c:val>
            <c:numRef>
              <c:f>Sheet1!$K$73:$K$88</c:f>
              <c:numCache>
                <c:formatCode>0.00%</c:formatCode>
                <c:ptCount val="16"/>
                <c:pt idx="0">
                  <c:v>0.12890971786833855</c:v>
                </c:pt>
                <c:pt idx="1">
                  <c:v>5.2617868338557999E-2</c:v>
                </c:pt>
                <c:pt idx="2">
                  <c:v>3.8043887147335427E-2</c:v>
                </c:pt>
                <c:pt idx="3">
                  <c:v>1.934827586206897E-2</c:v>
                </c:pt>
                <c:pt idx="4">
                  <c:v>1.2756739811912221E-2</c:v>
                </c:pt>
                <c:pt idx="5">
                  <c:v>-1.4172413793103467E-3</c:v>
                </c:pt>
                <c:pt idx="6">
                  <c:v>-5.8824451410658257E-3</c:v>
                </c:pt>
                <c:pt idx="7">
                  <c:v>-8.3564263322884018E-3</c:v>
                </c:pt>
                <c:pt idx="8">
                  <c:v>-1.2795297805642633E-2</c:v>
                </c:pt>
                <c:pt idx="9">
                  <c:v>-1.3012852664576802E-2</c:v>
                </c:pt>
                <c:pt idx="10">
                  <c:v>-1.3191222570532915E-2</c:v>
                </c:pt>
                <c:pt idx="11">
                  <c:v>-1.9186833855799369E-2</c:v>
                </c:pt>
                <c:pt idx="12">
                  <c:v>-2.902163009404389E-2</c:v>
                </c:pt>
                <c:pt idx="13">
                  <c:v>-3.0482445141065823E-2</c:v>
                </c:pt>
                <c:pt idx="14">
                  <c:v>-3.563887147335424E-2</c:v>
                </c:pt>
                <c:pt idx="15">
                  <c:v>-8.2691222570532921E-2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91-4B44-BF3A-B75E26C79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80927"/>
        <c:axId val="996583327"/>
      </c:barChart>
      <c:catAx>
        <c:axId val="996580927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3327"/>
        <c:crosses val="autoZero"/>
        <c:auto val="1"/>
        <c:lblAlgn val="ctr"/>
        <c:lblOffset val="100"/>
        <c:noMultiLvlLbl val="0"/>
      </c:catAx>
      <c:valAx>
        <c:axId val="9965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Vrchat </a:t>
            </a:r>
            <a:r>
              <a:rPr lang="zh-CN" altLang="en-US"/>
              <a:t>中文区 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MBTI Keirsey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气质分类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</a:t>
            </a:r>
            <a:r>
              <a:rPr lang="zh-CN" altLang="en-US"/>
              <a:t>与现实的对比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vrchat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Sheet1!$Y$2:$Y$5</c:f>
              <c:strCache>
                <c:ptCount val="4"/>
                <c:pt idx="0">
                  <c:v>NT</c:v>
                </c:pt>
                <c:pt idx="1">
                  <c:v>NF</c:v>
                </c:pt>
                <c:pt idx="2">
                  <c:v>SJ</c:v>
                </c:pt>
                <c:pt idx="3">
                  <c:v>SP</c:v>
                </c:pt>
              </c:strCache>
            </c:strRef>
          </c:cat>
          <c:val>
            <c:numRef>
              <c:f>Sheet1!$Z$2:$Z$5</c:f>
              <c:numCache>
                <c:formatCode>0.00%</c:formatCode>
                <c:ptCount val="4"/>
                <c:pt idx="0">
                  <c:v>0.21943573667711599</c:v>
                </c:pt>
                <c:pt idx="1">
                  <c:v>0.45454545454545453</c:v>
                </c:pt>
                <c:pt idx="2">
                  <c:v>0.13166144200626959</c:v>
                </c:pt>
                <c:pt idx="3">
                  <c:v>0.19435736677115986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71-478C-AD4C-75F41A6EF281}"/>
            </c:ext>
          </c:extLst>
        </c:ser>
        <c:ser>
          <c:idx val="1"/>
          <c:order val="1"/>
          <c:tx>
            <c:v>现实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Sheet1!$Y$2:$Y$5</c:f>
              <c:strCache>
                <c:ptCount val="4"/>
                <c:pt idx="0">
                  <c:v>NT</c:v>
                </c:pt>
                <c:pt idx="1">
                  <c:v>NF</c:v>
                </c:pt>
                <c:pt idx="2">
                  <c:v>SJ</c:v>
                </c:pt>
                <c:pt idx="3">
                  <c:v>SP</c:v>
                </c:pt>
              </c:strCache>
            </c:strRef>
          </c:cat>
          <c:val>
            <c:numRef>
              <c:f>Sheet1!$AA$2:$AA$5</c:f>
              <c:numCache>
                <c:formatCode>0.00%</c:formatCode>
                <c:ptCount val="4"/>
                <c:pt idx="0">
                  <c:v>0.16830000000000001</c:v>
                </c:pt>
                <c:pt idx="1">
                  <c:v>0.31340000000000001</c:v>
                </c:pt>
                <c:pt idx="2">
                  <c:v>0.29820000000000002</c:v>
                </c:pt>
                <c:pt idx="3">
                  <c:v>0.22010000000000002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71-478C-AD4C-75F41A6EF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80927"/>
        <c:axId val="996583327"/>
      </c:barChart>
      <c:catAx>
        <c:axId val="996580927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3327"/>
        <c:crosses val="autoZero"/>
        <c:auto val="1"/>
        <c:lblAlgn val="ctr"/>
        <c:lblOffset val="100"/>
        <c:noMultiLvlLbl val="0"/>
      </c:catAx>
      <c:valAx>
        <c:axId val="9965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856442880328769"/>
          <c:y val="0.48178993588606017"/>
          <c:w val="8.083194388434381E-2"/>
          <c:h val="0.211454709419233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Vrchat </a:t>
            </a:r>
            <a:r>
              <a:rPr lang="zh-CN" altLang="en-US"/>
              <a:t>中文区 </a:t>
            </a:r>
            <a:r>
              <a:rPr lang="en-US" altLang="zh-CN"/>
              <a:t>MBTI </a:t>
            </a:r>
            <a:r>
              <a:rPr lang="zh-CN" altLang="en-US"/>
              <a:t>四个维度 与现实的对比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vrchat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Sheet1!$AJ$2:$AJ$9</c:f>
              <c:strCache>
                <c:ptCount val="8"/>
                <c:pt idx="0">
                  <c:v>I</c:v>
                </c:pt>
                <c:pt idx="1">
                  <c:v>E</c:v>
                </c:pt>
                <c:pt idx="2">
                  <c:v>S</c:v>
                </c:pt>
                <c:pt idx="3">
                  <c:v>N</c:v>
                </c:pt>
                <c:pt idx="4">
                  <c:v>T</c:v>
                </c:pt>
                <c:pt idx="5">
                  <c:v>F</c:v>
                </c:pt>
                <c:pt idx="6">
                  <c:v>J</c:v>
                </c:pt>
                <c:pt idx="7">
                  <c:v>P</c:v>
                </c:pt>
              </c:strCache>
            </c:strRef>
          </c:cat>
          <c:val>
            <c:numRef>
              <c:f>Sheet1!$AK$2:$AK$9</c:f>
              <c:numCache>
                <c:formatCode>0.00%</c:formatCode>
                <c:ptCount val="8"/>
                <c:pt idx="0">
                  <c:v>0.71473354231974917</c:v>
                </c:pt>
                <c:pt idx="1">
                  <c:v>0.28526645768025077</c:v>
                </c:pt>
                <c:pt idx="2">
                  <c:v>0.32601880877742945</c:v>
                </c:pt>
                <c:pt idx="3">
                  <c:v>0.6739811912225705</c:v>
                </c:pt>
                <c:pt idx="4">
                  <c:v>0.32601880877742945</c:v>
                </c:pt>
                <c:pt idx="5">
                  <c:v>0.6739811912225705</c:v>
                </c:pt>
                <c:pt idx="6">
                  <c:v>0.34169278996865204</c:v>
                </c:pt>
                <c:pt idx="7">
                  <c:v>0.65830721003134796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B-4ACA-9B92-D4C89D6B66FF}"/>
            </c:ext>
          </c:extLst>
        </c:ser>
        <c:ser>
          <c:idx val="1"/>
          <c:order val="1"/>
          <c:tx>
            <c:v>现实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Sheet1!$AJ$2:$AJ$9</c:f>
              <c:strCache>
                <c:ptCount val="8"/>
                <c:pt idx="0">
                  <c:v>I</c:v>
                </c:pt>
                <c:pt idx="1">
                  <c:v>E</c:v>
                </c:pt>
                <c:pt idx="2">
                  <c:v>S</c:v>
                </c:pt>
                <c:pt idx="3">
                  <c:v>N</c:v>
                </c:pt>
                <c:pt idx="4">
                  <c:v>T</c:v>
                </c:pt>
                <c:pt idx="5">
                  <c:v>F</c:v>
                </c:pt>
                <c:pt idx="6">
                  <c:v>J</c:v>
                </c:pt>
                <c:pt idx="7">
                  <c:v>P</c:v>
                </c:pt>
              </c:strCache>
            </c:strRef>
          </c:cat>
          <c:val>
            <c:numRef>
              <c:f>Sheet1!$AL$2:$AL$9</c:f>
              <c:numCache>
                <c:formatCode>0.00%</c:formatCode>
                <c:ptCount val="8"/>
                <c:pt idx="0">
                  <c:v>0.51929999999999998</c:v>
                </c:pt>
                <c:pt idx="1">
                  <c:v>0.48070000000000007</c:v>
                </c:pt>
                <c:pt idx="2">
                  <c:v>0.51829999999999998</c:v>
                </c:pt>
                <c:pt idx="3">
                  <c:v>0.48170000000000002</c:v>
                </c:pt>
                <c:pt idx="4">
                  <c:v>0.33770000000000006</c:v>
                </c:pt>
                <c:pt idx="5">
                  <c:v>0.66229999999999989</c:v>
                </c:pt>
                <c:pt idx="6">
                  <c:v>0.4788</c:v>
                </c:pt>
                <c:pt idx="7">
                  <c:v>0.5212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B-4ACA-9B92-D4C89D6B6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80927"/>
        <c:axId val="996583327"/>
      </c:barChart>
      <c:catAx>
        <c:axId val="996580927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3327"/>
        <c:crosses val="autoZero"/>
        <c:auto val="1"/>
        <c:lblAlgn val="ctr"/>
        <c:lblOffset val="100"/>
        <c:noMultiLvlLbl val="0"/>
      </c:catAx>
      <c:valAx>
        <c:axId val="9965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87304409082255"/>
          <c:y val="0.48178993588606017"/>
          <c:w val="0.122523190908322"/>
          <c:h val="0.357020158402756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Vrchat </a:t>
            </a:r>
            <a:r>
              <a:rPr lang="zh-CN" altLang="en-US"/>
              <a:t>中文区 </a:t>
            </a:r>
            <a:r>
              <a:rPr lang="en-US" altLang="zh-CN"/>
              <a:t>MBTI </a:t>
            </a:r>
            <a:r>
              <a:rPr lang="en-US" altLang="zh-C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Keirsey</a:t>
            </a:r>
            <a:r>
              <a:rPr lang="zh-CN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气质分类</a:t>
            </a:r>
            <a:r>
              <a:rPr lang="en-US" altLang="zh-CN"/>
              <a:t> </a:t>
            </a:r>
            <a:r>
              <a:rPr lang="zh-CN" altLang="en-US"/>
              <a:t>与现实的差异排序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Sheet1!$AD$7:$AD$10</c:f>
              <c:strCache>
                <c:ptCount val="4"/>
                <c:pt idx="0">
                  <c:v>NF</c:v>
                </c:pt>
                <c:pt idx="1">
                  <c:v>NT</c:v>
                </c:pt>
                <c:pt idx="2">
                  <c:v>SP</c:v>
                </c:pt>
                <c:pt idx="3">
                  <c:v>SJ</c:v>
                </c:pt>
              </c:strCache>
            </c:strRef>
          </c:cat>
          <c:val>
            <c:numRef>
              <c:f>Sheet1!$AE$7:$AE$10</c:f>
              <c:numCache>
                <c:formatCode>0.00%</c:formatCode>
                <c:ptCount val="4"/>
                <c:pt idx="0">
                  <c:v>0.14114545454545452</c:v>
                </c:pt>
                <c:pt idx="1">
                  <c:v>5.1135736677115989E-2</c:v>
                </c:pt>
                <c:pt idx="2">
                  <c:v>-2.5742633228840156E-2</c:v>
                </c:pt>
                <c:pt idx="3">
                  <c:v>-0.16653855799373044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6B-40E4-937E-8BE88C6DC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80927"/>
        <c:axId val="996583327"/>
      </c:barChart>
      <c:catAx>
        <c:axId val="996580927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3327"/>
        <c:crosses val="autoZero"/>
        <c:auto val="1"/>
        <c:lblAlgn val="ctr"/>
        <c:lblOffset val="100"/>
        <c:noMultiLvlLbl val="0"/>
      </c:catAx>
      <c:valAx>
        <c:axId val="9965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Vrchat </a:t>
            </a:r>
            <a:r>
              <a:rPr lang="zh-CN" altLang="en-US"/>
              <a:t>中文区 </a:t>
            </a:r>
            <a:r>
              <a:rPr lang="en-US" altLang="zh-CN"/>
              <a:t>MBTI </a:t>
            </a:r>
            <a:r>
              <a:rPr lang="zh-CN" altLang="en-US"/>
              <a:t>四个维度</a:t>
            </a:r>
            <a:r>
              <a:rPr lang="en-US" altLang="zh-CN"/>
              <a:t> </a:t>
            </a:r>
            <a:r>
              <a:rPr lang="zh-CN" altLang="en-US"/>
              <a:t>与现实的差异排序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Sheet1!$AJ$14:$AJ$21</c:f>
              <c:strCache>
                <c:ptCount val="8"/>
                <c:pt idx="0">
                  <c:v>I</c:v>
                </c:pt>
                <c:pt idx="1">
                  <c:v>N</c:v>
                </c:pt>
                <c:pt idx="2">
                  <c:v>P</c:v>
                </c:pt>
                <c:pt idx="3">
                  <c:v>F</c:v>
                </c:pt>
                <c:pt idx="4">
                  <c:v>T</c:v>
                </c:pt>
                <c:pt idx="5">
                  <c:v>J</c:v>
                </c:pt>
                <c:pt idx="6">
                  <c:v>S</c:v>
                </c:pt>
                <c:pt idx="7">
                  <c:v>E</c:v>
                </c:pt>
              </c:strCache>
            </c:strRef>
          </c:cat>
          <c:val>
            <c:numRef>
              <c:f>Sheet1!$AK$14:$AK$21</c:f>
              <c:numCache>
                <c:formatCode>0.00%</c:formatCode>
                <c:ptCount val="8"/>
                <c:pt idx="0">
                  <c:v>0.19543354231974919</c:v>
                </c:pt>
                <c:pt idx="1">
                  <c:v>0.19228119122257048</c:v>
                </c:pt>
                <c:pt idx="2">
                  <c:v>0.13710721003134796</c:v>
                </c:pt>
                <c:pt idx="3">
                  <c:v>1.1681191222570608E-2</c:v>
                </c:pt>
                <c:pt idx="4">
                  <c:v>-1.1681191222570608E-2</c:v>
                </c:pt>
                <c:pt idx="5">
                  <c:v>-0.13710721003134796</c:v>
                </c:pt>
                <c:pt idx="6">
                  <c:v>-0.19228119122257054</c:v>
                </c:pt>
                <c:pt idx="7">
                  <c:v>-0.1954335423197493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8-4A4F-8898-1F6B5B90E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80927"/>
        <c:axId val="996583327"/>
      </c:barChart>
      <c:catAx>
        <c:axId val="996580927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3327"/>
        <c:crosses val="autoZero"/>
        <c:auto val="1"/>
        <c:lblAlgn val="ctr"/>
        <c:lblOffset val="100"/>
        <c:noMultiLvlLbl val="0"/>
      </c:catAx>
      <c:valAx>
        <c:axId val="9965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Vrchat </a:t>
            </a:r>
            <a:r>
              <a:rPr lang="zh-CN" altLang="en-US"/>
              <a:t>中文区 </a:t>
            </a:r>
            <a:r>
              <a:rPr lang="en-US" altLang="zh-CN"/>
              <a:t>MBTI </a:t>
            </a:r>
            <a:r>
              <a:rPr lang="zh-CN" altLang="en-US"/>
              <a:t>认知功能 与现实的对比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vrchat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Sheet1!$R$25:$R$32</c:f>
              <c:strCache>
                <c:ptCount val="8"/>
                <c:pt idx="0">
                  <c:v>Fi</c:v>
                </c:pt>
                <c:pt idx="1">
                  <c:v>Ni</c:v>
                </c:pt>
                <c:pt idx="2">
                  <c:v>Ti</c:v>
                </c:pt>
                <c:pt idx="3">
                  <c:v>Ne</c:v>
                </c:pt>
                <c:pt idx="4">
                  <c:v>Si</c:v>
                </c:pt>
                <c:pt idx="5">
                  <c:v>Fe</c:v>
                </c:pt>
                <c:pt idx="6">
                  <c:v>Se</c:v>
                </c:pt>
                <c:pt idx="7">
                  <c:v>Te</c:v>
                </c:pt>
              </c:strCache>
            </c:strRef>
          </c:cat>
          <c:val>
            <c:numRef>
              <c:f>Sheet1!$T$25:$T$32</c:f>
              <c:numCache>
                <c:formatCode>0.00%</c:formatCode>
                <c:ptCount val="8"/>
                <c:pt idx="0">
                  <c:v>0.33855799373040751</c:v>
                </c:pt>
                <c:pt idx="1">
                  <c:v>0.14420062695924765</c:v>
                </c:pt>
                <c:pt idx="2">
                  <c:v>0.14420062695924765</c:v>
                </c:pt>
                <c:pt idx="3">
                  <c:v>0.11912225705329153</c:v>
                </c:pt>
                <c:pt idx="4">
                  <c:v>8.7774294670846395E-2</c:v>
                </c:pt>
                <c:pt idx="5">
                  <c:v>6.2695924764890276E-2</c:v>
                </c:pt>
                <c:pt idx="6">
                  <c:v>5.6426332288401257E-2</c:v>
                </c:pt>
                <c:pt idx="7">
                  <c:v>4.7021943573667707E-2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9-4936-9E32-DE8965BA9137}"/>
            </c:ext>
          </c:extLst>
        </c:ser>
        <c:ser>
          <c:idx val="1"/>
          <c:order val="1"/>
          <c:tx>
            <c:v>现实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Sheet1!$R$25:$R$32</c:f>
              <c:strCache>
                <c:ptCount val="8"/>
                <c:pt idx="0">
                  <c:v>Fi</c:v>
                </c:pt>
                <c:pt idx="1">
                  <c:v>Ni</c:v>
                </c:pt>
                <c:pt idx="2">
                  <c:v>Ti</c:v>
                </c:pt>
                <c:pt idx="3">
                  <c:v>Ne</c:v>
                </c:pt>
                <c:pt idx="4">
                  <c:v>Si</c:v>
                </c:pt>
                <c:pt idx="5">
                  <c:v>Fe</c:v>
                </c:pt>
                <c:pt idx="6">
                  <c:v>Se</c:v>
                </c:pt>
                <c:pt idx="7">
                  <c:v>Te</c:v>
                </c:pt>
              </c:strCache>
            </c:strRef>
          </c:cat>
          <c:val>
            <c:numRef>
              <c:f>Sheet1!$S$25:$S$32</c:f>
              <c:numCache>
                <c:formatCode>0.00%</c:formatCode>
                <c:ptCount val="8"/>
                <c:pt idx="0">
                  <c:v>0.1903</c:v>
                </c:pt>
                <c:pt idx="1">
                  <c:v>9.3400000000000011E-2</c:v>
                </c:pt>
                <c:pt idx="2">
                  <c:v>9.2999999999999999E-2</c:v>
                </c:pt>
                <c:pt idx="3">
                  <c:v>0.13779999999999998</c:v>
                </c:pt>
                <c:pt idx="4">
                  <c:v>0.1426</c:v>
                </c:pt>
                <c:pt idx="5">
                  <c:v>0.15840000000000001</c:v>
                </c:pt>
                <c:pt idx="6">
                  <c:v>0.10009999999999999</c:v>
                </c:pt>
                <c:pt idx="7">
                  <c:v>8.4400000000000003E-2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39-4936-9E32-DE8965BA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80927"/>
        <c:axId val="996583327"/>
      </c:barChart>
      <c:catAx>
        <c:axId val="996580927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3327"/>
        <c:crosses val="autoZero"/>
        <c:auto val="1"/>
        <c:lblAlgn val="ctr"/>
        <c:lblOffset val="100"/>
        <c:noMultiLvlLbl val="0"/>
      </c:catAx>
      <c:valAx>
        <c:axId val="9965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01856060984839"/>
          <c:y val="0.48178993588606017"/>
          <c:w val="0.11437788326220713"/>
          <c:h val="0.211454709419233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Vrchat </a:t>
            </a:r>
            <a:r>
              <a:rPr lang="zh-CN" altLang="en-US"/>
              <a:t>中文区 </a:t>
            </a:r>
            <a:r>
              <a:rPr lang="en-US" altLang="zh-CN"/>
              <a:t>MBTI </a:t>
            </a:r>
            <a:r>
              <a:rPr lang="zh-CN" altLang="en-US"/>
              <a:t>认知功能 与现实的差异排序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现实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Sheet1!$T$35:$T$42</c:f>
              <c:strCache>
                <c:ptCount val="8"/>
                <c:pt idx="0">
                  <c:v>Fi</c:v>
                </c:pt>
                <c:pt idx="1">
                  <c:v>Ti</c:v>
                </c:pt>
                <c:pt idx="2">
                  <c:v>Ni</c:v>
                </c:pt>
                <c:pt idx="3">
                  <c:v>Ne</c:v>
                </c:pt>
                <c:pt idx="4">
                  <c:v>Te</c:v>
                </c:pt>
                <c:pt idx="5">
                  <c:v>Se</c:v>
                </c:pt>
                <c:pt idx="6">
                  <c:v>Si</c:v>
                </c:pt>
                <c:pt idx="7">
                  <c:v>Fe</c:v>
                </c:pt>
              </c:strCache>
            </c:strRef>
          </c:cat>
          <c:val>
            <c:numRef>
              <c:f>Sheet1!$U$35:$U$42</c:f>
              <c:numCache>
                <c:formatCode>0.00%</c:formatCode>
                <c:ptCount val="8"/>
                <c:pt idx="0">
                  <c:v>0.14825799373040752</c:v>
                </c:pt>
                <c:pt idx="1">
                  <c:v>5.1200626959247653E-2</c:v>
                </c:pt>
                <c:pt idx="2">
                  <c:v>5.0800626959247641E-2</c:v>
                </c:pt>
                <c:pt idx="3">
                  <c:v>-1.8677742946708445E-2</c:v>
                </c:pt>
                <c:pt idx="4">
                  <c:v>-3.7378056426332296E-2</c:v>
                </c:pt>
                <c:pt idx="5">
                  <c:v>-4.3673667711598738E-2</c:v>
                </c:pt>
                <c:pt idx="6">
                  <c:v>-5.482570532915361E-2</c:v>
                </c:pt>
                <c:pt idx="7">
                  <c:v>-9.5704075235109737E-2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2C-4BF5-AA27-D382B510D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6580927"/>
        <c:axId val="996583327"/>
      </c:barChart>
      <c:catAx>
        <c:axId val="996580927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3327"/>
        <c:crosses val="autoZero"/>
        <c:auto val="1"/>
        <c:lblAlgn val="ctr"/>
        <c:lblOffset val="100"/>
        <c:noMultiLvlLbl val="0"/>
      </c:catAx>
      <c:valAx>
        <c:axId val="99658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580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915845</xdr:colOff>
      <xdr:row>53</xdr:row>
      <xdr:rowOff>126706</xdr:rowOff>
    </xdr:from>
    <xdr:to>
      <xdr:col>18</xdr:col>
      <xdr:colOff>238737</xdr:colOff>
      <xdr:row>64</xdr:row>
      <xdr:rowOff>56172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C4B367F5-5A90-E039-30FC-616AFB9C5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581891</xdr:colOff>
      <xdr:row>22</xdr:row>
      <xdr:rowOff>110835</xdr:rowOff>
    </xdr:from>
    <xdr:to>
      <xdr:col>33</xdr:col>
      <xdr:colOff>112601</xdr:colOff>
      <xdr:row>33</xdr:row>
      <xdr:rowOff>164993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33D76F-EFAF-4ACA-AB97-A832FA3D6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50898</xdr:colOff>
      <xdr:row>70</xdr:row>
      <xdr:rowOff>51867</xdr:rowOff>
    </xdr:from>
    <xdr:to>
      <xdr:col>18</xdr:col>
      <xdr:colOff>86447</xdr:colOff>
      <xdr:row>82</xdr:row>
      <xdr:rowOff>147181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EB94D8D-A8C8-400F-914B-C92E48359B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716460</xdr:colOff>
      <xdr:row>53</xdr:row>
      <xdr:rowOff>143948</xdr:rowOff>
    </xdr:from>
    <xdr:to>
      <xdr:col>27</xdr:col>
      <xdr:colOff>10054</xdr:colOff>
      <xdr:row>64</xdr:row>
      <xdr:rowOff>54710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2D96E42-D351-4C80-BBEE-40F041F64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35719</xdr:colOff>
      <xdr:row>53</xdr:row>
      <xdr:rowOff>147452</xdr:rowOff>
    </xdr:from>
    <xdr:to>
      <xdr:col>38</xdr:col>
      <xdr:colOff>370114</xdr:colOff>
      <xdr:row>64</xdr:row>
      <xdr:rowOff>42281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64808C1-D6E9-420A-B84C-17D21B946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719099</xdr:colOff>
      <xdr:row>71</xdr:row>
      <xdr:rowOff>51866</xdr:rowOff>
    </xdr:from>
    <xdr:to>
      <xdr:col>27</xdr:col>
      <xdr:colOff>7569</xdr:colOff>
      <xdr:row>81</xdr:row>
      <xdr:rowOff>148965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09C54FD-00B1-44D8-AC76-574B9CCD1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3970</xdr:colOff>
      <xdr:row>71</xdr:row>
      <xdr:rowOff>90287</xdr:rowOff>
    </xdr:from>
    <xdr:to>
      <xdr:col>38</xdr:col>
      <xdr:colOff>62753</xdr:colOff>
      <xdr:row>82</xdr:row>
      <xdr:rowOff>3443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E4C150E-975F-42A6-8124-8E5FC4BCD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39</xdr:col>
      <xdr:colOff>0</xdr:colOff>
      <xdr:row>54</xdr:row>
      <xdr:rowOff>0</xdr:rowOff>
    </xdr:from>
    <xdr:to>
      <xdr:col>48</xdr:col>
      <xdr:colOff>412517</xdr:colOff>
      <xdr:row>64</xdr:row>
      <xdr:rowOff>83088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9994F193-7286-4DEA-A520-6BCA70AF9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80683</xdr:colOff>
      <xdr:row>71</xdr:row>
      <xdr:rowOff>170329</xdr:rowOff>
    </xdr:from>
    <xdr:to>
      <xdr:col>48</xdr:col>
      <xdr:colOff>493200</xdr:colOff>
      <xdr:row>82</xdr:row>
      <xdr:rowOff>118946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4B9E1C9C-2B77-42A4-B0A2-C49EB20850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322"/>
  <sheetViews>
    <sheetView tabSelected="1" topLeftCell="L49" zoomScale="55" zoomScaleNormal="55" workbookViewId="0">
      <selection activeCell="AO9" sqref="AO9"/>
    </sheetView>
  </sheetViews>
  <sheetFormatPr defaultRowHeight="13.8"/>
  <cols>
    <col min="1" max="1" width="25.21875" style="4" bestFit="1" customWidth="1"/>
    <col min="2" max="2" width="5.33203125" style="4" bestFit="1" customWidth="1"/>
    <col min="3" max="3" width="10.6640625" style="4" bestFit="1" customWidth="1"/>
    <col min="4" max="4" width="14.44140625" style="4" bestFit="1" customWidth="1"/>
    <col min="5" max="5" width="57.33203125" style="4" bestFit="1" customWidth="1"/>
    <col min="6" max="6" width="8.88671875" style="4"/>
    <col min="7" max="7" width="6.77734375" style="4" bestFit="1" customWidth="1"/>
    <col min="8" max="8" width="8" style="4" bestFit="1" customWidth="1"/>
    <col min="9" max="9" width="3.6640625" style="4" bestFit="1" customWidth="1"/>
    <col min="10" max="10" width="19.33203125" style="4" bestFit="1" customWidth="1"/>
    <col min="11" max="11" width="9.88671875" style="4" bestFit="1" customWidth="1"/>
    <col min="12" max="12" width="14.44140625" style="4" bestFit="1" customWidth="1"/>
    <col min="13" max="13" width="18" style="4" bestFit="1" customWidth="1"/>
    <col min="14" max="14" width="15.21875" style="4" bestFit="1" customWidth="1"/>
    <col min="15" max="15" width="14.77734375" style="4" bestFit="1" customWidth="1"/>
    <col min="16" max="16" width="19.21875" style="4" bestFit="1" customWidth="1"/>
    <col min="17" max="17" width="15.44140625" style="4" bestFit="1" customWidth="1"/>
    <col min="18" max="18" width="14.88671875" style="4" bestFit="1" customWidth="1"/>
    <col min="19" max="20" width="9" style="4" bestFit="1" customWidth="1"/>
    <col min="21" max="21" width="8" style="4" bestFit="1" customWidth="1"/>
    <col min="22" max="22" width="5.77734375" style="4" bestFit="1" customWidth="1"/>
    <col min="23" max="23" width="28" style="4" bestFit="1" customWidth="1"/>
    <col min="24" max="24" width="23.77734375" style="4" bestFit="1" customWidth="1"/>
    <col min="25" max="25" width="8" style="4" bestFit="1" customWidth="1"/>
    <col min="26" max="26" width="8.88671875" style="4" bestFit="1" customWidth="1"/>
    <col min="27" max="27" width="9" style="4" bestFit="1" customWidth="1"/>
    <col min="28" max="28" width="8.77734375" style="4" bestFit="1" customWidth="1"/>
    <col min="29" max="30" width="4.33203125" style="4" bestFit="1" customWidth="1"/>
    <col min="31" max="31" width="8.77734375" style="4" bestFit="1" customWidth="1"/>
    <col min="32" max="32" width="5" style="4" bestFit="1" customWidth="1"/>
    <col min="33" max="33" width="5.21875" style="4" bestFit="1" customWidth="1"/>
    <col min="34" max="34" width="8.77734375" style="4" bestFit="1" customWidth="1"/>
    <col min="35" max="35" width="14.44140625" style="4" bestFit="1" customWidth="1"/>
    <col min="36" max="36" width="3.109375" style="4" bestFit="1" customWidth="1"/>
    <col min="37" max="37" width="8.77734375" style="4" bestFit="1" customWidth="1"/>
    <col min="38" max="38" width="8" style="4" bestFit="1" customWidth="1"/>
    <col min="39" max="39" width="8.77734375" style="4" bestFit="1" customWidth="1"/>
    <col min="40" max="40" width="2" style="4" bestFit="1" customWidth="1"/>
    <col min="41" max="42" width="8" style="4" bestFit="1" customWidth="1"/>
    <col min="43" max="16384" width="8.88671875" style="4"/>
  </cols>
  <sheetData>
    <row r="1" spans="1:42" ht="15">
      <c r="A1" s="1" t="s">
        <v>0</v>
      </c>
      <c r="B1" s="1" t="s">
        <v>68</v>
      </c>
      <c r="C1" s="1" t="s">
        <v>1</v>
      </c>
      <c r="D1" s="1" t="s">
        <v>69</v>
      </c>
      <c r="E1" s="1" t="s">
        <v>70</v>
      </c>
      <c r="K1" s="4" t="s">
        <v>120</v>
      </c>
      <c r="L1" s="8" t="s">
        <v>147</v>
      </c>
      <c r="M1" s="7" t="s">
        <v>287</v>
      </c>
      <c r="N1" s="7" t="s">
        <v>148</v>
      </c>
      <c r="O1" s="7" t="s">
        <v>169</v>
      </c>
      <c r="P1" s="7" t="s">
        <v>172</v>
      </c>
      <c r="Q1" s="7" t="s">
        <v>174</v>
      </c>
      <c r="R1" s="7" t="s">
        <v>173</v>
      </c>
      <c r="V1" s="4" t="s">
        <v>120</v>
      </c>
      <c r="W1" s="6" t="s">
        <v>147</v>
      </c>
      <c r="X1" s="6" t="s">
        <v>312</v>
      </c>
      <c r="Z1" s="4" t="s">
        <v>320</v>
      </c>
      <c r="AA1" s="6" t="s">
        <v>321</v>
      </c>
      <c r="AB1" s="6" t="s">
        <v>322</v>
      </c>
      <c r="AC1" s="6"/>
      <c r="AD1" s="6"/>
      <c r="AE1" s="6" t="s">
        <v>322</v>
      </c>
      <c r="AH1" s="8" t="s">
        <v>168</v>
      </c>
      <c r="AI1" s="6" t="s">
        <v>147</v>
      </c>
      <c r="AJ1" s="6"/>
      <c r="AK1" s="7" t="s">
        <v>320</v>
      </c>
      <c r="AL1" s="6" t="s">
        <v>321</v>
      </c>
      <c r="AM1" s="6" t="s">
        <v>323</v>
      </c>
      <c r="AO1" s="6" t="s">
        <v>179</v>
      </c>
      <c r="AP1" s="6" t="s">
        <v>185</v>
      </c>
    </row>
    <row r="2" spans="1:42" ht="15">
      <c r="A2" s="1" t="s">
        <v>45</v>
      </c>
      <c r="B2" s="1" t="s">
        <v>71</v>
      </c>
      <c r="C2" s="1" t="s">
        <v>44</v>
      </c>
      <c r="D2" s="1" t="s">
        <v>72</v>
      </c>
      <c r="E2" s="1"/>
      <c r="J2" s="1" t="s">
        <v>18</v>
      </c>
      <c r="K2" s="1">
        <f>COUNTIF(C2:C330, "ENTJ")</f>
        <v>7</v>
      </c>
      <c r="L2" s="3">
        <f>K2/K22</f>
        <v>2.1943573667711599E-2</v>
      </c>
      <c r="M2" s="27">
        <v>3.0300000000000001E-2</v>
      </c>
      <c r="N2" s="5">
        <f>K2/V2</f>
        <v>0.1</v>
      </c>
      <c r="O2" s="11">
        <f>K2/AH3</f>
        <v>7.6923076923076927E-2</v>
      </c>
      <c r="P2" s="13">
        <f>K2/AH6</f>
        <v>3.255813953488372E-2</v>
      </c>
      <c r="Q2" s="28">
        <f>K2/AH8</f>
        <v>6.7307692307692304E-2</v>
      </c>
      <c r="R2" s="16">
        <f>K2/AH11</f>
        <v>6.4220183486238536E-2</v>
      </c>
      <c r="S2" s="4" t="s">
        <v>328</v>
      </c>
      <c r="T2" s="14">
        <f>L10+L20</f>
        <v>0.33855799373040751</v>
      </c>
      <c r="U2" s="4" t="s">
        <v>121</v>
      </c>
      <c r="V2" s="4">
        <f>K2+K3+K4+K5</f>
        <v>70</v>
      </c>
      <c r="W2" s="5">
        <f>V2/K22</f>
        <v>0.21943573667711599</v>
      </c>
      <c r="X2" s="14">
        <f>SUM(M4,M9,M13,M11)</f>
        <v>0.19490000000000002</v>
      </c>
      <c r="Y2" s="4" t="s">
        <v>308</v>
      </c>
      <c r="Z2" s="5">
        <f>V2/K22</f>
        <v>0.21943573667711599</v>
      </c>
      <c r="AA2" s="14">
        <f>SUM(M2:M5)</f>
        <v>0.16830000000000001</v>
      </c>
      <c r="AB2" s="14">
        <f>Z2-AA2</f>
        <v>5.1135736677115989E-2</v>
      </c>
      <c r="AD2" s="4" t="s">
        <v>308</v>
      </c>
      <c r="AE2" s="14">
        <f>AB2</f>
        <v>5.1135736677115989E-2</v>
      </c>
      <c r="AG2" s="9" t="s">
        <v>159</v>
      </c>
      <c r="AH2" s="4">
        <f>K4+K5+K9+K10+K14+K15+K19+K20</f>
        <v>228</v>
      </c>
      <c r="AI2" s="5">
        <f>AH2/K22</f>
        <v>0.71473354231974917</v>
      </c>
      <c r="AJ2" s="4" t="s">
        <v>313</v>
      </c>
      <c r="AK2" s="14">
        <f>AI2</f>
        <v>0.71473354231974917</v>
      </c>
      <c r="AL2" s="14">
        <f>O30</f>
        <v>0.51929999999999998</v>
      </c>
      <c r="AM2" s="14">
        <f t="shared" ref="AM2:AM9" si="0">AK2-AL2</f>
        <v>0.19543354231974919</v>
      </c>
      <c r="AO2" s="4">
        <f>COUNTIF(B2:B300, "男")</f>
        <v>120</v>
      </c>
      <c r="AP2" s="4">
        <f>COUNTIF(B2:B300, "女")</f>
        <v>48</v>
      </c>
    </row>
    <row r="3" spans="1:42" ht="14.4">
      <c r="A3" s="4" t="s">
        <v>187</v>
      </c>
      <c r="B3" s="4" t="s">
        <v>15</v>
      </c>
      <c r="C3" s="4" t="s">
        <v>44</v>
      </c>
      <c r="D3" s="4" t="s">
        <v>15</v>
      </c>
      <c r="E3" s="4" t="s">
        <v>142</v>
      </c>
      <c r="J3" s="1" t="s">
        <v>11</v>
      </c>
      <c r="K3" s="1">
        <f>COUNTIF(C2:C330, "ENTP")</f>
        <v>12</v>
      </c>
      <c r="L3" s="3">
        <f>K3/K22</f>
        <v>3.7617554858934171E-2</v>
      </c>
      <c r="M3" s="14">
        <v>4.3499999999999997E-2</v>
      </c>
      <c r="N3" s="5">
        <f>K3/V2</f>
        <v>0.17142857142857143</v>
      </c>
      <c r="O3" s="11">
        <f>K3/AH3</f>
        <v>0.13186813186813187</v>
      </c>
      <c r="P3" s="13">
        <f>K3/AH6</f>
        <v>5.5813953488372092E-2</v>
      </c>
      <c r="Q3" s="28">
        <f>K3/AH8</f>
        <v>0.11538461538461539</v>
      </c>
      <c r="R3" s="17">
        <f>K3/AH12</f>
        <v>5.7142857142857141E-2</v>
      </c>
      <c r="S3" s="4" t="s">
        <v>330</v>
      </c>
      <c r="T3" s="14">
        <f>L7+L13</f>
        <v>6.2695924764890276E-2</v>
      </c>
      <c r="W3" s="5"/>
      <c r="Y3" s="4" t="s">
        <v>309</v>
      </c>
      <c r="Z3" s="5">
        <f>V7/K22</f>
        <v>0.45454545454545453</v>
      </c>
      <c r="AA3" s="14">
        <f>SUM(M7:M10)</f>
        <v>0.31340000000000001</v>
      </c>
      <c r="AB3" s="14">
        <f>Z3-AA3</f>
        <v>0.14114545454545452</v>
      </c>
      <c r="AD3" s="4" t="s">
        <v>309</v>
      </c>
      <c r="AE3" s="14">
        <f>AB3</f>
        <v>0.14114545454545452</v>
      </c>
      <c r="AG3" s="4" t="s">
        <v>160</v>
      </c>
      <c r="AH3" s="4">
        <f>K2+K3+K7+K8+K12+K13+K17+K18</f>
        <v>91</v>
      </c>
      <c r="AI3" s="5">
        <f>AH3/K22</f>
        <v>0.28526645768025077</v>
      </c>
      <c r="AJ3" s="4" t="s">
        <v>314</v>
      </c>
      <c r="AK3" s="14">
        <f>AI3</f>
        <v>0.28526645768025077</v>
      </c>
      <c r="AL3" s="14">
        <f>O31</f>
        <v>0.48070000000000007</v>
      </c>
      <c r="AM3" s="14">
        <f t="shared" si="0"/>
        <v>-0.1954335423197493</v>
      </c>
      <c r="AO3" s="5">
        <f>AO2/AO7</f>
        <v>0.7142857142857143</v>
      </c>
      <c r="AP3" s="5">
        <f>AP2/AO7</f>
        <v>0.2857142857142857</v>
      </c>
    </row>
    <row r="4" spans="1:42" ht="14.4">
      <c r="A4" s="4" t="s">
        <v>200</v>
      </c>
      <c r="B4" s="6" t="s">
        <v>185</v>
      </c>
      <c r="C4" s="4" t="s">
        <v>44</v>
      </c>
      <c r="D4" s="6" t="s">
        <v>6</v>
      </c>
      <c r="J4" s="1" t="s">
        <v>13</v>
      </c>
      <c r="K4" s="1">
        <f>COUNTIF(C2:C330, "INTJ")</f>
        <v>16</v>
      </c>
      <c r="L4" s="3">
        <f>K4/K22</f>
        <v>5.0156739811912224E-2</v>
      </c>
      <c r="M4" s="14">
        <v>3.7400000000000003E-2</v>
      </c>
      <c r="N4" s="5">
        <f>K4/V2</f>
        <v>0.22857142857142856</v>
      </c>
      <c r="O4" s="10">
        <f>K4/AH2</f>
        <v>7.0175438596491224E-2</v>
      </c>
      <c r="P4" s="13">
        <f>K4/AH6</f>
        <v>7.441860465116279E-2</v>
      </c>
      <c r="Q4" s="28">
        <f>K4/AH8</f>
        <v>0.15384615384615385</v>
      </c>
      <c r="R4" s="16">
        <f>K4/AH11</f>
        <v>0.14678899082568808</v>
      </c>
      <c r="S4" s="4" t="s">
        <v>326</v>
      </c>
      <c r="T4" s="14">
        <f>L5+L19</f>
        <v>0.14420062695924765</v>
      </c>
      <c r="W4" s="5"/>
      <c r="Y4" s="4" t="s">
        <v>311</v>
      </c>
      <c r="Z4" s="5">
        <f>V12/K22</f>
        <v>0.13166144200626959</v>
      </c>
      <c r="AA4" s="14">
        <f>SUM(M12:M15)</f>
        <v>0.29820000000000002</v>
      </c>
      <c r="AB4" s="14">
        <f>Z4-AA4</f>
        <v>-0.16653855799373044</v>
      </c>
      <c r="AD4" s="4" t="s">
        <v>311</v>
      </c>
      <c r="AE4" s="14">
        <f>AB4</f>
        <v>-0.16653855799373044</v>
      </c>
      <c r="AI4" s="5"/>
      <c r="AJ4" s="4" t="s">
        <v>315</v>
      </c>
      <c r="AK4" s="14">
        <f>AI5</f>
        <v>0.32601880877742945</v>
      </c>
      <c r="AL4" s="14">
        <f>O33</f>
        <v>0.51829999999999998</v>
      </c>
      <c r="AM4" s="14">
        <f t="shared" si="0"/>
        <v>-0.19228119122257054</v>
      </c>
    </row>
    <row r="5" spans="1:42" ht="14.4">
      <c r="A5" s="4" t="s">
        <v>291</v>
      </c>
      <c r="B5" s="6" t="s">
        <v>176</v>
      </c>
      <c r="C5" s="4" t="s">
        <v>44</v>
      </c>
      <c r="D5" s="6" t="s">
        <v>6</v>
      </c>
      <c r="J5" s="1" t="s">
        <v>17</v>
      </c>
      <c r="K5" s="1">
        <f>COUNTIF(C2:C330, "INTP")</f>
        <v>35</v>
      </c>
      <c r="L5" s="3">
        <f>K5/K22</f>
        <v>0.109717868338558</v>
      </c>
      <c r="M5" s="27">
        <v>5.7099999999999998E-2</v>
      </c>
      <c r="N5" s="5">
        <f>K5/V2</f>
        <v>0.5</v>
      </c>
      <c r="O5" s="10">
        <f>K5/AH2</f>
        <v>0.15350877192982457</v>
      </c>
      <c r="P5" s="13">
        <f>K5/AH6</f>
        <v>0.16279069767441862</v>
      </c>
      <c r="Q5" s="28">
        <f>K5/AH8</f>
        <v>0.33653846153846156</v>
      </c>
      <c r="R5" s="17">
        <f>K5/AH12</f>
        <v>0.16666666666666666</v>
      </c>
      <c r="S5" s="4" t="s">
        <v>332</v>
      </c>
      <c r="T5" s="14">
        <f>L2+L12</f>
        <v>4.7021943573667707E-2</v>
      </c>
      <c r="W5" s="5"/>
      <c r="Y5" s="4" t="s">
        <v>310</v>
      </c>
      <c r="Z5" s="5">
        <f>V17/K22</f>
        <v>0.19435736677115986</v>
      </c>
      <c r="AA5" s="14">
        <f>SUM(M17:M20)</f>
        <v>0.22010000000000002</v>
      </c>
      <c r="AB5" s="14">
        <f>Z5-AA5</f>
        <v>-2.5742633228840156E-2</v>
      </c>
      <c r="AD5" s="4" t="s">
        <v>310</v>
      </c>
      <c r="AE5" s="14">
        <f>AB5</f>
        <v>-2.5742633228840156E-2</v>
      </c>
      <c r="AG5" s="4" t="s">
        <v>161</v>
      </c>
      <c r="AH5" s="4">
        <f>K12+K13+K14+K15+K17+K18+K19+K20</f>
        <v>104</v>
      </c>
      <c r="AI5" s="5">
        <f>AH5/K22</f>
        <v>0.32601880877742945</v>
      </c>
      <c r="AJ5" s="4" t="s">
        <v>316</v>
      </c>
      <c r="AK5" s="14">
        <f>AI6</f>
        <v>0.6739811912225705</v>
      </c>
      <c r="AL5" s="14">
        <f>O34</f>
        <v>0.48170000000000002</v>
      </c>
      <c r="AM5" s="14">
        <f t="shared" si="0"/>
        <v>0.19228119122257048</v>
      </c>
    </row>
    <row r="6" spans="1:42" ht="15">
      <c r="A6" s="1" t="s">
        <v>33</v>
      </c>
      <c r="B6" s="1" t="s">
        <v>73</v>
      </c>
      <c r="C6" s="1" t="s">
        <v>7</v>
      </c>
      <c r="D6" s="1" t="s">
        <v>74</v>
      </c>
      <c r="E6" s="1"/>
      <c r="L6" s="3"/>
      <c r="M6" s="27"/>
      <c r="N6" s="7" t="s">
        <v>156</v>
      </c>
      <c r="O6" s="5"/>
      <c r="P6" s="5"/>
      <c r="Q6" s="5"/>
      <c r="S6" s="4" t="s">
        <v>334</v>
      </c>
      <c r="T6" s="14">
        <f>L4+L9</f>
        <v>0.14420062695924765</v>
      </c>
      <c r="W6" s="5"/>
      <c r="Z6" s="14">
        <f>SUM(Z2:Z5)</f>
        <v>1</v>
      </c>
      <c r="AA6" s="14">
        <f>SUM(AA2:AA5)</f>
        <v>1</v>
      </c>
      <c r="AB6" s="14">
        <f>SUM(AB2:AB5)</f>
        <v>-8.3266726846886741E-17</v>
      </c>
      <c r="AG6" s="4" t="s">
        <v>162</v>
      </c>
      <c r="AH6" s="4">
        <f>K2+K3+K4+K5+K7+K8+K9+K10</f>
        <v>215</v>
      </c>
      <c r="AI6" s="5">
        <f>AH6/K22</f>
        <v>0.6739811912225705</v>
      </c>
      <c r="AJ6" s="4" t="s">
        <v>142</v>
      </c>
      <c r="AK6" s="14">
        <f>AI8</f>
        <v>0.32601880877742945</v>
      </c>
      <c r="AL6" s="14">
        <f>O36</f>
        <v>0.33770000000000006</v>
      </c>
      <c r="AM6" s="14">
        <f t="shared" si="0"/>
        <v>-1.1681191222570608E-2</v>
      </c>
      <c r="AO6" s="6" t="s">
        <v>214</v>
      </c>
    </row>
    <row r="7" spans="1:42">
      <c r="A7" s="4" t="s">
        <v>140</v>
      </c>
      <c r="B7" s="4" t="s">
        <v>15</v>
      </c>
      <c r="C7" s="4" t="s">
        <v>7</v>
      </c>
      <c r="D7" s="4" t="s">
        <v>15</v>
      </c>
      <c r="J7" s="1" t="s">
        <v>28</v>
      </c>
      <c r="K7" s="2">
        <f>COUNTIF(C2:C330, "ENFJ")</f>
        <v>14</v>
      </c>
      <c r="L7" s="3">
        <f>K7/K22</f>
        <v>4.3887147335423198E-2</v>
      </c>
      <c r="M7" s="27">
        <v>5.6899999999999999E-2</v>
      </c>
      <c r="N7" s="5">
        <f>K7/V7</f>
        <v>9.6551724137931033E-2</v>
      </c>
      <c r="O7" s="11">
        <f>K7/AH3</f>
        <v>0.15384615384615385</v>
      </c>
      <c r="P7" s="13">
        <f>K7/AH6</f>
        <v>6.5116279069767441E-2</v>
      </c>
      <c r="Q7" s="5">
        <f>K7/AH9</f>
        <v>6.5116279069767441E-2</v>
      </c>
      <c r="R7" s="16">
        <f>K7/AH11</f>
        <v>0.12844036697247707</v>
      </c>
      <c r="S7" s="4" t="s">
        <v>336</v>
      </c>
      <c r="T7" s="14">
        <f>L3+L8</f>
        <v>0.11912225705329153</v>
      </c>
      <c r="U7" s="4" t="s">
        <v>122</v>
      </c>
      <c r="V7" s="4">
        <f>SUM(K7:K10)</f>
        <v>145</v>
      </c>
      <c r="W7" s="5">
        <f>V7/K22</f>
        <v>0.45454545454545453</v>
      </c>
      <c r="X7" s="14">
        <f>SUM(M2,M8,M5,M6)</f>
        <v>0.18169999999999997</v>
      </c>
      <c r="AD7" s="4" t="str" cm="1">
        <f t="array" ref="AD7:AE10">_xlfn._xlws.SORT(AD2:AE5,2,-1)</f>
        <v>NF</v>
      </c>
      <c r="AE7" s="5">
        <v>0.14114545454545452</v>
      </c>
      <c r="AI7" s="5"/>
      <c r="AJ7" s="4" t="s">
        <v>317</v>
      </c>
      <c r="AK7" s="14">
        <f>AI9</f>
        <v>0.6739811912225705</v>
      </c>
      <c r="AL7" s="14">
        <f>O37</f>
        <v>0.66229999999999989</v>
      </c>
      <c r="AM7" s="14">
        <f t="shared" si="0"/>
        <v>1.1681191222570608E-2</v>
      </c>
      <c r="AO7" s="4">
        <f>AO2+AP2</f>
        <v>168</v>
      </c>
    </row>
    <row r="8" spans="1:42" ht="14.4">
      <c r="A8" s="4" t="s">
        <v>144</v>
      </c>
      <c r="B8" s="4" t="s">
        <v>149</v>
      </c>
      <c r="C8" s="4" t="s">
        <v>7</v>
      </c>
      <c r="D8" s="4" t="s">
        <v>150</v>
      </c>
      <c r="J8" s="1" t="s">
        <v>2</v>
      </c>
      <c r="K8" s="2">
        <f>COUNTIF(C2:C330, "ENFP")</f>
        <v>26</v>
      </c>
      <c r="L8" s="3">
        <f>K8/K22</f>
        <v>8.1504702194357362E-2</v>
      </c>
      <c r="M8" s="27">
        <v>9.4299999999999995E-2</v>
      </c>
      <c r="N8" s="5">
        <f>K8/V7</f>
        <v>0.1793103448275862</v>
      </c>
      <c r="O8" s="11">
        <f>K8/AH3</f>
        <v>0.2857142857142857</v>
      </c>
      <c r="P8" s="13">
        <f>K8/AH6</f>
        <v>0.12093023255813953</v>
      </c>
      <c r="Q8" s="15">
        <f>K8/AH9</f>
        <v>0.12093023255813953</v>
      </c>
      <c r="R8" s="17">
        <f>K8/AH12</f>
        <v>0.12380952380952381</v>
      </c>
      <c r="S8" s="4" t="s">
        <v>338</v>
      </c>
      <c r="T8" s="14">
        <f>L14+L15</f>
        <v>8.7774294670846395E-2</v>
      </c>
      <c r="W8" s="5"/>
      <c r="AD8" s="4" t="str">
        <v>NT</v>
      </c>
      <c r="AE8" s="5">
        <v>5.1135736677115989E-2</v>
      </c>
      <c r="AG8" s="4" t="s">
        <v>163</v>
      </c>
      <c r="AH8" s="4">
        <f>K2+K4+K3+K5+K12+K14+K17+K19</f>
        <v>104</v>
      </c>
      <c r="AI8" s="5">
        <f>AH8/K22</f>
        <v>0.32601880877742945</v>
      </c>
      <c r="AJ8" s="4" t="s">
        <v>318</v>
      </c>
      <c r="AK8" s="14">
        <f>AI11</f>
        <v>0.34169278996865204</v>
      </c>
      <c r="AL8" s="14">
        <f>O39</f>
        <v>0.4788</v>
      </c>
      <c r="AM8" s="14">
        <f t="shared" si="0"/>
        <v>-0.13710721003134796</v>
      </c>
    </row>
    <row r="9" spans="1:42" ht="14.4">
      <c r="A9" s="6" t="s">
        <v>220</v>
      </c>
      <c r="B9" s="6" t="s">
        <v>179</v>
      </c>
      <c r="C9" s="4" t="s">
        <v>7</v>
      </c>
      <c r="D9" s="6" t="s">
        <v>6</v>
      </c>
      <c r="E9" s="7"/>
      <c r="J9" s="1" t="s">
        <v>20</v>
      </c>
      <c r="K9" s="2">
        <f>COUNTIF(C2:C330, "INFJ")</f>
        <v>30</v>
      </c>
      <c r="L9" s="3">
        <f>K9/K22</f>
        <v>9.4043887147335428E-2</v>
      </c>
      <c r="M9" s="14">
        <v>5.6000000000000001E-2</v>
      </c>
      <c r="N9" s="5">
        <f>K9/V7</f>
        <v>0.20689655172413793</v>
      </c>
      <c r="O9" s="10">
        <f>K9/AH2</f>
        <v>0.13157894736842105</v>
      </c>
      <c r="P9" s="13">
        <f>K9/AH6</f>
        <v>0.13953488372093023</v>
      </c>
      <c r="Q9" s="15">
        <f>K9/AH9</f>
        <v>0.13953488372093023</v>
      </c>
      <c r="R9" s="16">
        <f>K9/AH11</f>
        <v>0.27522935779816515</v>
      </c>
      <c r="S9" s="4" t="s">
        <v>339</v>
      </c>
      <c r="T9" s="14">
        <f>L17+L18</f>
        <v>5.6426332288401257E-2</v>
      </c>
      <c r="W9" s="5"/>
      <c r="AD9" s="4" t="str">
        <v>SP</v>
      </c>
      <c r="AE9" s="5">
        <v>-2.5742633228840156E-2</v>
      </c>
      <c r="AG9" s="4" t="s">
        <v>164</v>
      </c>
      <c r="AH9" s="4">
        <f>K7+K8+K9+K10+K13+K15+K18+K20</f>
        <v>215</v>
      </c>
      <c r="AI9" s="5">
        <f>AH9/K22</f>
        <v>0.6739811912225705</v>
      </c>
      <c r="AJ9" s="4" t="s">
        <v>319</v>
      </c>
      <c r="AK9" s="14">
        <f>AI12</f>
        <v>0.65830721003134796</v>
      </c>
      <c r="AL9" s="14">
        <f>O40</f>
        <v>0.5212</v>
      </c>
      <c r="AM9" s="14">
        <f t="shared" si="0"/>
        <v>0.13710721003134796</v>
      </c>
    </row>
    <row r="10" spans="1:42" ht="14.4">
      <c r="A10" s="4" t="s">
        <v>222</v>
      </c>
      <c r="B10" s="6" t="s">
        <v>179</v>
      </c>
      <c r="C10" s="4" t="s">
        <v>7</v>
      </c>
      <c r="D10" s="6" t="s">
        <v>205</v>
      </c>
      <c r="J10" s="1" t="s">
        <v>3</v>
      </c>
      <c r="K10" s="2">
        <f>COUNTIF(C2:C330, "INFP")</f>
        <v>75</v>
      </c>
      <c r="L10" s="3">
        <f>K10/K22</f>
        <v>0.23510971786833856</v>
      </c>
      <c r="M10" s="14">
        <v>0.1062</v>
      </c>
      <c r="N10" s="5">
        <f>K10/V7</f>
        <v>0.51724137931034486</v>
      </c>
      <c r="O10" s="10">
        <f>K10/AH2</f>
        <v>0.32894736842105265</v>
      </c>
      <c r="P10" s="13">
        <f>K10/AH6</f>
        <v>0.34883720930232559</v>
      </c>
      <c r="Q10" s="15">
        <f>K10/AH9</f>
        <v>0.34883720930232559</v>
      </c>
      <c r="R10" s="17">
        <f>K10/AH12</f>
        <v>0.35714285714285715</v>
      </c>
      <c r="T10" s="14">
        <f>SUM(T2:T9)</f>
        <v>0.99999999999999989</v>
      </c>
      <c r="W10" s="5"/>
      <c r="AD10" s="4" t="str">
        <v>SJ</v>
      </c>
      <c r="AE10" s="5">
        <v>-0.16653855799373044</v>
      </c>
      <c r="AI10" s="5"/>
      <c r="AL10" s="14"/>
    </row>
    <row r="11" spans="1:42" ht="14.4">
      <c r="A11" s="7" t="s">
        <v>297</v>
      </c>
      <c r="B11" s="6" t="s">
        <v>179</v>
      </c>
      <c r="C11" s="4" t="s">
        <v>7</v>
      </c>
      <c r="D11" s="6" t="s">
        <v>298</v>
      </c>
      <c r="E11" s="6" t="s">
        <v>389</v>
      </c>
      <c r="F11" s="6"/>
      <c r="K11" s="2"/>
      <c r="L11" s="3"/>
      <c r="M11" s="14"/>
      <c r="N11" s="7" t="s">
        <v>157</v>
      </c>
      <c r="O11" s="5"/>
      <c r="Q11" s="5"/>
      <c r="W11" s="5"/>
      <c r="AG11" s="4" t="s">
        <v>165</v>
      </c>
      <c r="AH11" s="4">
        <f>K2+K4+K7+K9+K12+K13+K14+K15</f>
        <v>109</v>
      </c>
      <c r="AI11" s="5">
        <f>AH11/K22</f>
        <v>0.34169278996865204</v>
      </c>
    </row>
    <row r="12" spans="1:42" ht="15">
      <c r="A12" s="1" t="s">
        <v>75</v>
      </c>
      <c r="B12" s="1" t="s">
        <v>73</v>
      </c>
      <c r="C12" s="1" t="s">
        <v>26</v>
      </c>
      <c r="D12" s="1" t="s">
        <v>72</v>
      </c>
      <c r="E12" s="1"/>
      <c r="J12" s="1" t="s">
        <v>22</v>
      </c>
      <c r="K12" s="2">
        <f>COUNTIF(C2:C330, "ESTJ")</f>
        <v>8</v>
      </c>
      <c r="L12" s="3">
        <f>K12/K22</f>
        <v>2.5078369905956112E-2</v>
      </c>
      <c r="M12" s="14">
        <v>5.4100000000000002E-2</v>
      </c>
      <c r="N12" s="5">
        <f>K12/V12</f>
        <v>0.19047619047619047</v>
      </c>
      <c r="O12" s="11">
        <f>K12/AH3</f>
        <v>8.7912087912087919E-2</v>
      </c>
      <c r="P12" s="12">
        <f>K12/AH5</f>
        <v>7.6923076923076927E-2</v>
      </c>
      <c r="Q12" s="28">
        <f>K12/AH8</f>
        <v>7.6923076923076927E-2</v>
      </c>
      <c r="R12" s="16">
        <f>K12/AH11</f>
        <v>7.3394495412844041E-2</v>
      </c>
      <c r="S12" s="4" t="str" cm="1">
        <f t="array" ref="S12:T19">_xlfn._xlws.SORT(S2:T9,2,-1)</f>
        <v>Fi</v>
      </c>
      <c r="T12" s="5">
        <v>0.33855799373040751</v>
      </c>
      <c r="U12" s="4" t="s">
        <v>125</v>
      </c>
      <c r="V12" s="4">
        <f>SUM(K12:K15)</f>
        <v>42</v>
      </c>
      <c r="W12" s="5">
        <f>V12/K22</f>
        <v>0.13166144200626959</v>
      </c>
      <c r="X12" s="14">
        <f>SUM(M7,M12,M14,M17)</f>
        <v>0.19039999999999999</v>
      </c>
      <c r="AG12" s="4" t="s">
        <v>166</v>
      </c>
      <c r="AH12" s="4">
        <f>K3+K5+K8+K10+K17+K18+K19+K20</f>
        <v>210</v>
      </c>
      <c r="AI12" s="5">
        <f>AH12/K22</f>
        <v>0.65830721003134796</v>
      </c>
    </row>
    <row r="13" spans="1:42" ht="15">
      <c r="A13" s="21" t="s">
        <v>253</v>
      </c>
      <c r="B13" s="22" t="s">
        <v>255</v>
      </c>
      <c r="C13" s="22" t="s">
        <v>26</v>
      </c>
      <c r="D13" s="22" t="s">
        <v>256</v>
      </c>
      <c r="E13" s="20" t="s">
        <v>254</v>
      </c>
      <c r="J13" s="1" t="s">
        <v>67</v>
      </c>
      <c r="K13" s="2">
        <f>COUNTIF(C2:C330, "ESFJ")</f>
        <v>6</v>
      </c>
      <c r="L13" s="3">
        <f>K13/K22</f>
        <v>1.8808777429467086E-2</v>
      </c>
      <c r="M13" s="14">
        <v>0.10150000000000001</v>
      </c>
      <c r="N13" s="5">
        <f>K13/V12</f>
        <v>0.14285714285714285</v>
      </c>
      <c r="O13" s="11">
        <f>K13/AH3</f>
        <v>6.5934065934065936E-2</v>
      </c>
      <c r="P13" s="12">
        <f>K13/AH5</f>
        <v>5.7692307692307696E-2</v>
      </c>
      <c r="Q13" s="15">
        <f>K13/AH9</f>
        <v>2.7906976744186046E-2</v>
      </c>
      <c r="R13" s="16">
        <f>K13/AH11</f>
        <v>5.5045871559633031E-2</v>
      </c>
      <c r="S13" s="4" t="str">
        <v>Ti</v>
      </c>
      <c r="T13" s="5">
        <v>0.14420062695924765</v>
      </c>
      <c r="W13" s="5"/>
    </row>
    <row r="14" spans="1:42" ht="15">
      <c r="A14" s="1" t="s">
        <v>76</v>
      </c>
      <c r="B14" s="1" t="s">
        <v>73</v>
      </c>
      <c r="C14" s="1" t="s">
        <v>26</v>
      </c>
      <c r="D14" s="1" t="s">
        <v>72</v>
      </c>
      <c r="E14" s="1" t="s">
        <v>62</v>
      </c>
      <c r="J14" s="1" t="s">
        <v>7</v>
      </c>
      <c r="K14" s="2">
        <f>COUNTIF(C2:C330, "ISTJ")</f>
        <v>9</v>
      </c>
      <c r="L14" s="3">
        <f>K14/K22</f>
        <v>2.8213166144200628E-2</v>
      </c>
      <c r="M14" s="14">
        <v>4.7399999999999998E-2</v>
      </c>
      <c r="N14" s="5">
        <f>K14/V12</f>
        <v>0.21428571428571427</v>
      </c>
      <c r="O14" s="10">
        <f>K14/AH2</f>
        <v>3.9473684210526314E-2</v>
      </c>
      <c r="P14" s="12">
        <f>K14/AH5</f>
        <v>8.6538461538461536E-2</v>
      </c>
      <c r="Q14" s="28">
        <f>K14/AH8</f>
        <v>8.6538461538461536E-2</v>
      </c>
      <c r="R14" s="16">
        <f>K14/AH11</f>
        <v>8.2568807339449546E-2</v>
      </c>
      <c r="S14" s="4" t="str">
        <v>Ni</v>
      </c>
      <c r="T14" s="5">
        <v>0.14420062695924765</v>
      </c>
      <c r="W14" s="5"/>
      <c r="AG14" s="4" t="s">
        <v>313</v>
      </c>
      <c r="AH14" s="14">
        <f t="shared" ref="AH14:AH21" si="1">AM2</f>
        <v>0.19543354231974919</v>
      </c>
      <c r="AJ14" s="4" t="str" cm="1">
        <f t="array" ref="AJ14:AK21">_xlfn._xlws.SORT(AG14:AH21,2,-1)</f>
        <v>I</v>
      </c>
      <c r="AK14" s="5">
        <v>0.19543354231974919</v>
      </c>
    </row>
    <row r="15" spans="1:42" ht="15">
      <c r="A15" s="1" t="s">
        <v>77</v>
      </c>
      <c r="B15" s="1" t="s">
        <v>73</v>
      </c>
      <c r="C15" s="1" t="s">
        <v>26</v>
      </c>
      <c r="D15" s="1" t="s">
        <v>72</v>
      </c>
      <c r="E15" s="1"/>
      <c r="J15" s="1" t="s">
        <v>4</v>
      </c>
      <c r="K15" s="2">
        <f>COUNTIF(C2:C330, "ISFJ")</f>
        <v>19</v>
      </c>
      <c r="L15" s="3">
        <f>K15/K22</f>
        <v>5.9561128526645767E-2</v>
      </c>
      <c r="M15" s="14">
        <v>9.5200000000000007E-2</v>
      </c>
      <c r="N15" s="5">
        <f>K15/V12</f>
        <v>0.45238095238095238</v>
      </c>
      <c r="O15" s="10">
        <f>K15/AH2</f>
        <v>8.3333333333333329E-2</v>
      </c>
      <c r="P15" s="12">
        <f>K15/AH5</f>
        <v>0.18269230769230768</v>
      </c>
      <c r="Q15" s="15">
        <f>K15/AH9</f>
        <v>8.8372093023255813E-2</v>
      </c>
      <c r="R15" s="16">
        <f>K14/AH11</f>
        <v>8.2568807339449546E-2</v>
      </c>
      <c r="S15" s="4" t="str">
        <v>Ne</v>
      </c>
      <c r="T15" s="5">
        <v>0.11912225705329153</v>
      </c>
      <c r="W15" s="5"/>
      <c r="AG15" s="4" t="s">
        <v>314</v>
      </c>
      <c r="AH15" s="14">
        <f t="shared" si="1"/>
        <v>-0.1954335423197493</v>
      </c>
      <c r="AJ15" s="4" t="str">
        <v>N</v>
      </c>
      <c r="AK15" s="5">
        <v>0.19228119122257048</v>
      </c>
    </row>
    <row r="16" spans="1:42" ht="15">
      <c r="A16" s="1" t="s">
        <v>27</v>
      </c>
      <c r="B16" s="1" t="s">
        <v>71</v>
      </c>
      <c r="C16" s="1" t="s">
        <v>26</v>
      </c>
      <c r="D16" s="1" t="s">
        <v>72</v>
      </c>
      <c r="E16" s="1"/>
      <c r="K16" s="2"/>
      <c r="L16" s="3"/>
      <c r="M16" s="14"/>
      <c r="N16" s="7" t="s">
        <v>158</v>
      </c>
      <c r="O16" s="5"/>
      <c r="P16" s="5"/>
      <c r="Q16" s="5"/>
      <c r="S16" s="4" t="str">
        <v>Si</v>
      </c>
      <c r="T16" s="5">
        <v>8.7774294670846395E-2</v>
      </c>
      <c r="W16" s="5"/>
      <c r="AG16" s="4" t="s">
        <v>315</v>
      </c>
      <c r="AH16" s="14">
        <f t="shared" si="1"/>
        <v>-0.19228119122257054</v>
      </c>
      <c r="AJ16" s="4" t="str">
        <v>P</v>
      </c>
      <c r="AK16" s="5">
        <v>0.13710721003134796</v>
      </c>
    </row>
    <row r="17" spans="1:37" ht="15">
      <c r="A17" s="1" t="s">
        <v>123</v>
      </c>
      <c r="B17" s="1" t="s">
        <v>71</v>
      </c>
      <c r="C17" s="1" t="s">
        <v>26</v>
      </c>
      <c r="D17" s="1" t="s">
        <v>72</v>
      </c>
      <c r="E17" s="1"/>
      <c r="J17" s="1" t="s">
        <v>48</v>
      </c>
      <c r="K17" s="2">
        <f>COUNTIF(C2:C330, "ESTP")</f>
        <v>6</v>
      </c>
      <c r="L17" s="3">
        <f>K17/K22</f>
        <v>1.8808777429467086E-2</v>
      </c>
      <c r="M17" s="14">
        <v>3.2000000000000001E-2</v>
      </c>
      <c r="N17" s="5">
        <f>K17/V17</f>
        <v>9.6774193548387094E-2</v>
      </c>
      <c r="O17" s="11">
        <f>K17/AH3</f>
        <v>6.5934065934065936E-2</v>
      </c>
      <c r="P17" s="12">
        <f>K17/AH5</f>
        <v>5.7692307692307696E-2</v>
      </c>
      <c r="Q17" s="28">
        <f>K17/AH8</f>
        <v>5.7692307692307696E-2</v>
      </c>
      <c r="R17" s="17">
        <f>K17/AH12</f>
        <v>2.8571428571428571E-2</v>
      </c>
      <c r="S17" s="4" t="str">
        <v>Fe</v>
      </c>
      <c r="T17" s="5">
        <v>6.2695924764890276E-2</v>
      </c>
      <c r="U17" s="4" t="s">
        <v>128</v>
      </c>
      <c r="V17" s="4">
        <f>SUM(K17:K20)</f>
        <v>62</v>
      </c>
      <c r="W17" s="5">
        <f>V17/K22</f>
        <v>0.19435736677115986</v>
      </c>
      <c r="X17" s="14">
        <f>SUM(M3,M10,M15,M16)</f>
        <v>0.24490000000000001</v>
      </c>
      <c r="AG17" s="4" t="s">
        <v>316</v>
      </c>
      <c r="AH17" s="14">
        <f t="shared" si="1"/>
        <v>0.19228119122257048</v>
      </c>
      <c r="AJ17" s="4" t="str">
        <v>F</v>
      </c>
      <c r="AK17" s="5">
        <v>1.1681191222570608E-2</v>
      </c>
    </row>
    <row r="18" spans="1:37" ht="15">
      <c r="A18" s="1" t="s">
        <v>52</v>
      </c>
      <c r="B18" s="1" t="s">
        <v>71</v>
      </c>
      <c r="C18" s="1" t="s">
        <v>26</v>
      </c>
      <c r="D18" s="1" t="s">
        <v>78</v>
      </c>
      <c r="E18" s="1"/>
      <c r="J18" s="1" t="s">
        <v>9</v>
      </c>
      <c r="K18" s="2">
        <f>COUNTIF(C2:C330,"ESFP")</f>
        <v>12</v>
      </c>
      <c r="L18" s="3">
        <f>K18/K22</f>
        <v>3.7617554858934171E-2</v>
      </c>
      <c r="M18" s="14">
        <v>6.8099999999999994E-2</v>
      </c>
      <c r="N18" s="5">
        <f>K18/V17</f>
        <v>0.19354838709677419</v>
      </c>
      <c r="O18" s="11">
        <f>K18/AH3</f>
        <v>0.13186813186813187</v>
      </c>
      <c r="P18" s="12">
        <f>K18/AH5</f>
        <v>0.11538461538461539</v>
      </c>
      <c r="Q18" s="15">
        <f>K18/AH9</f>
        <v>5.5813953488372092E-2</v>
      </c>
      <c r="R18" s="17">
        <f>K18/AH12</f>
        <v>5.7142857142857141E-2</v>
      </c>
      <c r="S18" s="4" t="str">
        <v>Se</v>
      </c>
      <c r="T18" s="5">
        <v>5.6426332288401257E-2</v>
      </c>
      <c r="AG18" s="4" t="s">
        <v>142</v>
      </c>
      <c r="AH18" s="14">
        <f t="shared" si="1"/>
        <v>-1.1681191222570608E-2</v>
      </c>
      <c r="AJ18" s="4" t="str">
        <v>T</v>
      </c>
      <c r="AK18" s="5">
        <v>-1.1681191222570608E-2</v>
      </c>
    </row>
    <row r="19" spans="1:37" ht="15">
      <c r="A19" s="1" t="s">
        <v>124</v>
      </c>
      <c r="B19" s="1" t="s">
        <v>71</v>
      </c>
      <c r="C19" s="1" t="s">
        <v>26</v>
      </c>
      <c r="D19" s="1" t="s">
        <v>72</v>
      </c>
      <c r="E19" s="1"/>
      <c r="J19" s="1" t="s">
        <v>44</v>
      </c>
      <c r="K19" s="2">
        <f>COUNTIF(C2:C330,"ISTP")</f>
        <v>11</v>
      </c>
      <c r="L19" s="3">
        <f>K19/K22</f>
        <v>3.4482758620689655E-2</v>
      </c>
      <c r="M19" s="14">
        <v>3.5900000000000001E-2</v>
      </c>
      <c r="N19" s="5">
        <f>K19/V17</f>
        <v>0.17741935483870969</v>
      </c>
      <c r="O19" s="10">
        <f>K19/AH2</f>
        <v>4.8245614035087717E-2</v>
      </c>
      <c r="P19" s="12">
        <f>K19/AH5</f>
        <v>0.10576923076923077</v>
      </c>
      <c r="Q19" s="28">
        <f>K19/AH8</f>
        <v>0.10576923076923077</v>
      </c>
      <c r="R19" s="17">
        <f>K19/AH12</f>
        <v>5.2380952380952382E-2</v>
      </c>
      <c r="S19" s="4" t="str">
        <v>Te</v>
      </c>
      <c r="T19" s="5">
        <v>4.7021943573667707E-2</v>
      </c>
      <c r="AG19" s="4" t="s">
        <v>317</v>
      </c>
      <c r="AH19" s="14">
        <f t="shared" si="1"/>
        <v>1.1681191222570608E-2</v>
      </c>
      <c r="AJ19" s="4" t="str">
        <v>J</v>
      </c>
      <c r="AK19" s="5">
        <v>-0.13710721003134796</v>
      </c>
    </row>
    <row r="20" spans="1:37" ht="14.4">
      <c r="A20" s="4" t="s">
        <v>151</v>
      </c>
      <c r="B20" s="4" t="s">
        <v>15</v>
      </c>
      <c r="C20" s="4" t="s">
        <v>26</v>
      </c>
      <c r="D20" s="4" t="s">
        <v>150</v>
      </c>
      <c r="E20" s="7" t="s">
        <v>380</v>
      </c>
      <c r="J20" s="1" t="s">
        <v>26</v>
      </c>
      <c r="K20" s="2">
        <f>COUNTIF(C2:C330,"ISFP")</f>
        <v>33</v>
      </c>
      <c r="L20" s="3">
        <f>K20/K22</f>
        <v>0.10344827586206896</v>
      </c>
      <c r="M20" s="14">
        <v>8.4099999999999994E-2</v>
      </c>
      <c r="N20" s="5">
        <f>K20/V17</f>
        <v>0.532258064516129</v>
      </c>
      <c r="O20" s="10">
        <f>K20/AH2</f>
        <v>0.14473684210526316</v>
      </c>
      <c r="P20" s="12">
        <f>K20/AH5</f>
        <v>0.31730769230769229</v>
      </c>
      <c r="Q20" s="15">
        <f>K20/AH9</f>
        <v>0.15348837209302327</v>
      </c>
      <c r="R20" s="17">
        <f>K20/AH12</f>
        <v>0.15714285714285714</v>
      </c>
      <c r="AG20" s="4" t="s">
        <v>318</v>
      </c>
      <c r="AH20" s="14">
        <f t="shared" si="1"/>
        <v>-0.13710721003134796</v>
      </c>
      <c r="AJ20" s="4" t="str">
        <v>S</v>
      </c>
      <c r="AK20" s="5">
        <v>-0.19228119122257054</v>
      </c>
    </row>
    <row r="21" spans="1:37" ht="14.4">
      <c r="A21" s="4" t="s">
        <v>177</v>
      </c>
      <c r="B21" s="6" t="s">
        <v>185</v>
      </c>
      <c r="C21" s="4" t="s">
        <v>26</v>
      </c>
      <c r="D21" s="6" t="s">
        <v>6</v>
      </c>
      <c r="R21" s="14"/>
      <c r="AG21" s="4" t="s">
        <v>319</v>
      </c>
      <c r="AH21" s="14">
        <f t="shared" si="1"/>
        <v>0.13710721003134796</v>
      </c>
      <c r="AJ21" s="4" t="str">
        <v>E</v>
      </c>
      <c r="AK21" s="5">
        <v>-0.1954335423197493</v>
      </c>
    </row>
    <row r="22" spans="1:37" ht="15">
      <c r="A22" s="4" t="s">
        <v>188</v>
      </c>
      <c r="B22" s="6" t="s">
        <v>176</v>
      </c>
      <c r="C22" s="4" t="s">
        <v>26</v>
      </c>
      <c r="D22" s="6" t="s">
        <v>6</v>
      </c>
      <c r="J22" s="1" t="s">
        <v>88</v>
      </c>
      <c r="K22" s="2">
        <f>SUM(K2+K3+K4+K5+K7+K8+K9+K10+K12+K13+K14+K15+K17+K18+K19+K20)</f>
        <v>319</v>
      </c>
      <c r="L22" s="14" cm="1">
        <f t="array" ref="L22">SUM(L2:L5+L7:L10+L12:L15+L17:L20)</f>
        <v>1</v>
      </c>
      <c r="M22" s="14">
        <f>SUM(M2:M20)</f>
        <v>1.0000000000000002</v>
      </c>
    </row>
    <row r="23" spans="1:37" ht="14.4">
      <c r="A23" s="23" t="s">
        <v>257</v>
      </c>
      <c r="B23" s="24" t="s">
        <v>176</v>
      </c>
      <c r="C23" s="25" t="s">
        <v>26</v>
      </c>
      <c r="D23" s="24" t="s">
        <v>6</v>
      </c>
    </row>
    <row r="24" spans="1:37" ht="14.4">
      <c r="A24" s="4" t="s">
        <v>198</v>
      </c>
      <c r="B24" s="4" t="s">
        <v>15</v>
      </c>
      <c r="C24" s="4" t="s">
        <v>26</v>
      </c>
      <c r="D24" s="6" t="s">
        <v>6</v>
      </c>
      <c r="J24" s="4" t="s">
        <v>286</v>
      </c>
      <c r="L24" s="4" t="s">
        <v>340</v>
      </c>
      <c r="M24" s="6" t="s">
        <v>321</v>
      </c>
      <c r="N24" s="6" t="s">
        <v>321</v>
      </c>
      <c r="O24" s="6" t="s">
        <v>321</v>
      </c>
      <c r="P24" s="6" t="s">
        <v>341</v>
      </c>
      <c r="Q24" s="6" t="s">
        <v>290</v>
      </c>
      <c r="R24" s="6"/>
      <c r="S24" s="6" t="s">
        <v>321</v>
      </c>
      <c r="T24" s="4" t="s">
        <v>340</v>
      </c>
      <c r="U24" s="6" t="s">
        <v>322</v>
      </c>
      <c r="W24" s="4" t="s">
        <v>288</v>
      </c>
      <c r="X24" s="6" t="s">
        <v>168</v>
      </c>
      <c r="Y24" s="6" t="s">
        <v>289</v>
      </c>
    </row>
    <row r="25" spans="1:37" ht="14.4">
      <c r="A25" s="4" t="s">
        <v>199</v>
      </c>
      <c r="B25" s="4" t="s">
        <v>15</v>
      </c>
      <c r="C25" s="4" t="s">
        <v>26</v>
      </c>
      <c r="D25" s="6" t="s">
        <v>6</v>
      </c>
      <c r="I25" s="4" cm="1">
        <f t="array" ref="I25">(1-MOD(LARGE(($K$2:$K$20-ROW($K$2:$K$20)/10000),ROW($J1)),1))*10000</f>
        <v>10.000000000047748</v>
      </c>
      <c r="J25" s="4" t="str" cm="1">
        <f t="array" ref="J25:M43">_xlfn._xlws.SORT(J2:M20,2,-1)</f>
        <v>INFP</v>
      </c>
      <c r="K25" s="4">
        <v>75</v>
      </c>
      <c r="L25" s="5">
        <v>0.23510971786833856</v>
      </c>
      <c r="M25" s="5">
        <v>0.1062</v>
      </c>
      <c r="N25" s="4" t="s">
        <v>308</v>
      </c>
      <c r="O25" s="14">
        <f>SUM(M2:M5)</f>
        <v>0.16830000000000001</v>
      </c>
      <c r="P25" s="14">
        <f t="shared" ref="P25:P32" si="2">L25-M25</f>
        <v>0.12890971786833855</v>
      </c>
      <c r="Q25" s="14">
        <v>0.33333333333333298</v>
      </c>
      <c r="R25" s="4" t="s">
        <v>327</v>
      </c>
      <c r="S25" s="14">
        <f>M10+M20</f>
        <v>0.1903</v>
      </c>
      <c r="T25" s="5">
        <f t="shared" ref="T25:T32" si="3">T12</f>
        <v>0.33855799373040751</v>
      </c>
      <c r="U25" s="14">
        <f t="shared" ref="U25:U33" si="4">T25-S25</f>
        <v>0.14825799373040752</v>
      </c>
      <c r="W25" s="4" t="s">
        <v>3</v>
      </c>
      <c r="X25" s="4">
        <v>10</v>
      </c>
      <c r="Y25" s="5">
        <f>X25/X36</f>
        <v>0.33333333333333331</v>
      </c>
    </row>
    <row r="26" spans="1:37" ht="14.4">
      <c r="A26" s="4" t="s">
        <v>201</v>
      </c>
      <c r="B26" s="4" t="s">
        <v>15</v>
      </c>
      <c r="C26" s="4" t="s">
        <v>26</v>
      </c>
      <c r="D26" s="6" t="s">
        <v>6</v>
      </c>
      <c r="E26" s="4" t="s">
        <v>512</v>
      </c>
      <c r="I26" s="4" cm="1">
        <f t="array" ref="I26">(1-MOD(LARGE(($K$2:$K$20-ROW($K$2:$K$20)/10000),ROW($J2)),1))*10000</f>
        <v>5.0000000000238742</v>
      </c>
      <c r="J26" s="4" t="str">
        <v>INTP</v>
      </c>
      <c r="K26" s="4">
        <v>35</v>
      </c>
      <c r="L26" s="5">
        <v>0.109717868338558</v>
      </c>
      <c r="M26" s="5">
        <v>5.7099999999999998E-2</v>
      </c>
      <c r="N26" s="14" t="s">
        <v>309</v>
      </c>
      <c r="O26" s="14">
        <f>SUM(M7:M10)</f>
        <v>0.31340000000000001</v>
      </c>
      <c r="P26" s="14">
        <f t="shared" si="2"/>
        <v>5.2617868338557999E-2</v>
      </c>
      <c r="Q26" s="26">
        <v>0.1</v>
      </c>
      <c r="R26" s="4" t="s">
        <v>333</v>
      </c>
      <c r="S26" s="14">
        <f>M4+M9</f>
        <v>9.3400000000000011E-2</v>
      </c>
      <c r="T26" s="5">
        <f t="shared" si="3"/>
        <v>0.14420062695924765</v>
      </c>
      <c r="U26" s="14">
        <f t="shared" si="4"/>
        <v>5.0800626959247641E-2</v>
      </c>
      <c r="W26" s="4" t="s">
        <v>2</v>
      </c>
      <c r="X26" s="4">
        <v>7</v>
      </c>
      <c r="Y26" s="5">
        <f>X26/X36</f>
        <v>0.23333333333333334</v>
      </c>
    </row>
    <row r="27" spans="1:37" ht="14.4">
      <c r="A27" s="4" t="s">
        <v>227</v>
      </c>
      <c r="B27" s="6" t="s">
        <v>179</v>
      </c>
      <c r="C27" s="4" t="s">
        <v>26</v>
      </c>
      <c r="D27" s="4" t="s">
        <v>226</v>
      </c>
      <c r="I27" s="4" cm="1">
        <f t="array" ref="I27">(1-MOD(LARGE(($K$2:$K$20-ROW($K$2:$K$20)/10000),ROW($J3)),1))*10000</f>
        <v>20.000000000024443</v>
      </c>
      <c r="J27" s="4" t="str">
        <v>ISFP</v>
      </c>
      <c r="K27" s="4">
        <v>33</v>
      </c>
      <c r="L27" s="5">
        <v>0.10344827586206896</v>
      </c>
      <c r="M27" s="5">
        <v>8.4099999999999994E-2</v>
      </c>
      <c r="N27" s="4" t="s">
        <v>311</v>
      </c>
      <c r="O27" s="14">
        <f>SUM(M12:M15)</f>
        <v>0.29820000000000002</v>
      </c>
      <c r="P27" s="14">
        <f t="shared" si="2"/>
        <v>1.934827586206897E-2</v>
      </c>
      <c r="Q27" s="26">
        <v>0</v>
      </c>
      <c r="R27" s="4" t="s">
        <v>325</v>
      </c>
      <c r="S27" s="14">
        <f>M5+M19</f>
        <v>9.2999999999999999E-2</v>
      </c>
      <c r="T27" s="5">
        <f t="shared" si="3"/>
        <v>0.14420062695924765</v>
      </c>
      <c r="U27" s="14">
        <f t="shared" si="4"/>
        <v>5.1200626959247653E-2</v>
      </c>
      <c r="W27" s="4" t="s">
        <v>28</v>
      </c>
      <c r="X27" s="4">
        <v>3</v>
      </c>
      <c r="Y27" s="5">
        <f>X27/X36</f>
        <v>0.1</v>
      </c>
    </row>
    <row r="28" spans="1:37" ht="14.4">
      <c r="A28" s="4" t="s">
        <v>237</v>
      </c>
      <c r="B28" s="6" t="s">
        <v>179</v>
      </c>
      <c r="C28" s="4" t="s">
        <v>26</v>
      </c>
      <c r="D28" s="6" t="s">
        <v>6</v>
      </c>
      <c r="I28" s="4" cm="1">
        <f t="array" ref="I28">(1-MOD(LARGE(($K$2:$K$20-ROW($K$2:$K$20)/10000),ROW($J4)),1))*10000</f>
        <v>9.0000000000145519</v>
      </c>
      <c r="J28" s="4" t="str">
        <v>INFJ</v>
      </c>
      <c r="K28" s="4">
        <v>30</v>
      </c>
      <c r="L28" s="5">
        <v>9.4043887147335428E-2</v>
      </c>
      <c r="M28" s="5">
        <v>5.6000000000000001E-2</v>
      </c>
      <c r="N28" s="4" t="s">
        <v>310</v>
      </c>
      <c r="O28" s="14">
        <f>SUM(M17:M20)</f>
        <v>0.22010000000000002</v>
      </c>
      <c r="P28" s="14">
        <f t="shared" si="2"/>
        <v>3.8043887147335427E-2</v>
      </c>
      <c r="Q28" s="26">
        <v>0</v>
      </c>
      <c r="R28" s="4" t="s">
        <v>335</v>
      </c>
      <c r="S28" s="14">
        <f>M3+M8</f>
        <v>0.13779999999999998</v>
      </c>
      <c r="T28" s="5">
        <f t="shared" si="3"/>
        <v>0.11912225705329153</v>
      </c>
      <c r="U28" s="14">
        <f t="shared" si="4"/>
        <v>-1.8677742946708445E-2</v>
      </c>
      <c r="W28" s="4" t="s">
        <v>17</v>
      </c>
      <c r="X28" s="4">
        <v>3</v>
      </c>
      <c r="Y28" s="5">
        <f>X28/X36</f>
        <v>0.1</v>
      </c>
    </row>
    <row r="29" spans="1:37" ht="14.4">
      <c r="A29" s="6" t="s">
        <v>242</v>
      </c>
      <c r="B29" s="6" t="s">
        <v>179</v>
      </c>
      <c r="C29" s="4" t="s">
        <v>26</v>
      </c>
      <c r="D29" s="6" t="s">
        <v>243</v>
      </c>
      <c r="I29" s="4" cm="1">
        <f t="array" ref="I29">(1-MOD(LARGE(($K$2:$K$20-ROW($K$2:$K$20)/10000),ROW($J5)),1))*10000</f>
        <v>8.0000000000168825</v>
      </c>
      <c r="J29" s="4" t="str">
        <v>ENFP</v>
      </c>
      <c r="K29" s="4">
        <v>26</v>
      </c>
      <c r="L29" s="5">
        <v>8.1504702194357362E-2</v>
      </c>
      <c r="M29" s="5">
        <v>9.4299999999999995E-2</v>
      </c>
      <c r="P29" s="14">
        <f t="shared" si="2"/>
        <v>-1.2795297805642633E-2</v>
      </c>
      <c r="Q29" s="14">
        <v>0.233333333333333</v>
      </c>
      <c r="R29" s="4" t="s">
        <v>337</v>
      </c>
      <c r="S29" s="14">
        <f>M14+M15</f>
        <v>0.1426</v>
      </c>
      <c r="T29" s="5">
        <f t="shared" si="3"/>
        <v>8.7774294670846395E-2</v>
      </c>
      <c r="U29" s="14">
        <f t="shared" si="4"/>
        <v>-5.482570532915361E-2</v>
      </c>
      <c r="W29" s="4" t="s">
        <v>26</v>
      </c>
      <c r="X29" s="4">
        <v>3</v>
      </c>
      <c r="Y29" s="5">
        <f>X29/X36</f>
        <v>0.1</v>
      </c>
    </row>
    <row r="30" spans="1:37" ht="14.4">
      <c r="A30" s="4" t="s">
        <v>265</v>
      </c>
      <c r="B30" s="6" t="s">
        <v>179</v>
      </c>
      <c r="C30" s="4" t="s">
        <v>26</v>
      </c>
      <c r="D30" s="4" t="s">
        <v>226</v>
      </c>
      <c r="I30" s="4" cm="1">
        <f t="array" ref="I30">(1-MOD(LARGE(($K$2:$K$20-ROW($K$2:$K$20)/10000),ROW($J6)),1))*10000</f>
        <v>15.000000000000568</v>
      </c>
      <c r="J30" s="4" t="str">
        <v>ISFJ</v>
      </c>
      <c r="K30" s="4">
        <v>19</v>
      </c>
      <c r="L30" s="5">
        <v>5.9561128526645767E-2</v>
      </c>
      <c r="M30" s="5">
        <v>9.5200000000000007E-2</v>
      </c>
      <c r="N30" s="14" t="s">
        <v>313</v>
      </c>
      <c r="O30" s="14">
        <f>SUM(M4,M5,M9,M10,M14,M15,M19,M20)</f>
        <v>0.51929999999999998</v>
      </c>
      <c r="P30" s="14">
        <f t="shared" si="2"/>
        <v>-3.563887147335424E-2</v>
      </c>
      <c r="Q30" s="14">
        <v>0.1</v>
      </c>
      <c r="R30" s="4" t="s">
        <v>329</v>
      </c>
      <c r="S30" s="14">
        <f>M7+M13</f>
        <v>0.15840000000000001</v>
      </c>
      <c r="T30" s="5">
        <f t="shared" si="3"/>
        <v>6.2695924764890276E-2</v>
      </c>
      <c r="U30" s="14">
        <f t="shared" si="4"/>
        <v>-9.5704075235109737E-2</v>
      </c>
      <c r="W30" s="4" t="s">
        <v>7</v>
      </c>
      <c r="X30" s="4">
        <v>1</v>
      </c>
      <c r="Y30" s="5">
        <f>X30/X36</f>
        <v>3.3333333333333333E-2</v>
      </c>
    </row>
    <row r="31" spans="1:37" ht="14.4">
      <c r="A31" s="6" t="s">
        <v>271</v>
      </c>
      <c r="B31" s="6" t="s">
        <v>176</v>
      </c>
      <c r="C31" s="4" t="s">
        <v>26</v>
      </c>
      <c r="D31" s="6" t="s">
        <v>6</v>
      </c>
      <c r="E31" s="4" t="s">
        <v>142</v>
      </c>
      <c r="I31" s="4" cm="1">
        <f t="array" ref="I31">(1-MOD(LARGE(($K$2:$K$20-ROW($K$2:$K$20)/10000),ROW($J7)),1))*10000</f>
        <v>4.0000000000084412</v>
      </c>
      <c r="J31" s="4" t="str">
        <v>INTJ</v>
      </c>
      <c r="K31" s="4">
        <v>16</v>
      </c>
      <c r="L31" s="5">
        <v>5.0156739811912224E-2</v>
      </c>
      <c r="M31" s="5">
        <v>3.7400000000000003E-2</v>
      </c>
      <c r="N31" s="4" t="s">
        <v>314</v>
      </c>
      <c r="O31" s="14">
        <f>SUM(M2,M3,M7,M8,M12,M13,M17,M18)</f>
        <v>0.48070000000000007</v>
      </c>
      <c r="P31" s="14">
        <f t="shared" si="2"/>
        <v>1.2756739811912221E-2</v>
      </c>
      <c r="Q31" s="26">
        <v>0.1</v>
      </c>
      <c r="R31" s="4" t="s">
        <v>339</v>
      </c>
      <c r="S31" s="14">
        <f>M17+M18</f>
        <v>0.10009999999999999</v>
      </c>
      <c r="T31" s="5">
        <f t="shared" si="3"/>
        <v>5.6426332288401257E-2</v>
      </c>
      <c r="U31" s="14">
        <f t="shared" si="4"/>
        <v>-4.3673667711598738E-2</v>
      </c>
      <c r="W31" s="4" t="s">
        <v>4</v>
      </c>
      <c r="X31" s="4">
        <v>1</v>
      </c>
      <c r="Y31" s="5">
        <f>X31/X36</f>
        <v>3.3333333333333333E-2</v>
      </c>
    </row>
    <row r="32" spans="1:37" ht="14.4">
      <c r="A32" s="6" t="s">
        <v>292</v>
      </c>
      <c r="B32" s="6" t="s">
        <v>179</v>
      </c>
      <c r="C32" s="4" t="s">
        <v>26</v>
      </c>
      <c r="D32" s="6" t="s">
        <v>6</v>
      </c>
      <c r="E32" s="4" t="s">
        <v>142</v>
      </c>
      <c r="I32" s="4" cm="1">
        <f t="array" ref="I32">(1-MOD(LARGE(($K$2:$K$20-ROW($K$2:$K$20)/10000),ROW($J8)),1))*10000</f>
        <v>7.0000000000014495</v>
      </c>
      <c r="J32" s="4" t="str">
        <v>ENFJ</v>
      </c>
      <c r="K32" s="4">
        <v>14</v>
      </c>
      <c r="L32" s="5">
        <v>4.3887147335423198E-2</v>
      </c>
      <c r="M32" s="5">
        <v>5.6899999999999999E-2</v>
      </c>
      <c r="P32" s="14">
        <f t="shared" si="2"/>
        <v>-1.3012852664576802E-2</v>
      </c>
      <c r="Q32" s="4">
        <v>0</v>
      </c>
      <c r="R32" s="4" t="s">
        <v>331</v>
      </c>
      <c r="S32" s="14">
        <f>M2+M12</f>
        <v>8.4400000000000003E-2</v>
      </c>
      <c r="T32" s="5">
        <f t="shared" si="3"/>
        <v>4.7021943573667707E-2</v>
      </c>
      <c r="U32" s="14">
        <f t="shared" si="4"/>
        <v>-3.7378056426332296E-2</v>
      </c>
      <c r="W32" s="4" t="s">
        <v>13</v>
      </c>
      <c r="X32" s="4">
        <v>1</v>
      </c>
      <c r="Y32" s="5">
        <f>X32/X36</f>
        <v>3.3333333333333333E-2</v>
      </c>
    </row>
    <row r="33" spans="1:25" ht="15">
      <c r="A33" s="1" t="s">
        <v>126</v>
      </c>
      <c r="B33" s="1" t="s">
        <v>71</v>
      </c>
      <c r="C33" s="1" t="s">
        <v>4</v>
      </c>
      <c r="D33" s="1" t="s">
        <v>79</v>
      </c>
      <c r="E33" s="1"/>
      <c r="I33" s="4" cm="1">
        <f t="array" ref="I33">(1-MOD(LARGE(($K$2:$K$20-ROW($K$2:$K$20)/10000),ROW($J9)),1))*10000</f>
        <v>2.9999999999930083</v>
      </c>
      <c r="J33" s="4" t="str">
        <v>ENTP</v>
      </c>
      <c r="K33" s="4">
        <v>12</v>
      </c>
      <c r="L33" s="5">
        <v>3.7617554858934171E-2</v>
      </c>
      <c r="M33" s="5">
        <v>4.3499999999999997E-2</v>
      </c>
      <c r="N33" s="4" t="s">
        <v>315</v>
      </c>
      <c r="O33" s="14">
        <f>SUM(M12,M13,M14,M15,M17,M18,M19,M20)</f>
        <v>0.51829999999999998</v>
      </c>
      <c r="P33" s="14">
        <f t="shared" ref="P33:P40" si="5">L33-M33</f>
        <v>-5.8824451410658257E-3</v>
      </c>
      <c r="Q33" s="14">
        <v>3.3333333333333298E-2</v>
      </c>
      <c r="S33" s="14">
        <f>SUM(S25:S32)</f>
        <v>1</v>
      </c>
      <c r="T33" s="14">
        <f>SUM(T25:T32)</f>
        <v>0.99999999999999989</v>
      </c>
      <c r="U33" s="4">
        <f t="shared" si="4"/>
        <v>0</v>
      </c>
      <c r="W33" s="4" t="s">
        <v>22</v>
      </c>
      <c r="X33" s="4">
        <v>1</v>
      </c>
      <c r="Y33" s="5">
        <f>X33/X36</f>
        <v>3.3333333333333333E-2</v>
      </c>
    </row>
    <row r="34" spans="1:25" ht="15">
      <c r="A34" s="1" t="s">
        <v>80</v>
      </c>
      <c r="B34" s="1" t="s">
        <v>73</v>
      </c>
      <c r="C34" s="1" t="s">
        <v>4</v>
      </c>
      <c r="D34" s="1" t="s">
        <v>81</v>
      </c>
      <c r="E34" s="1"/>
      <c r="I34" s="4" cm="1">
        <f t="array" ref="I34">(1-MOD(LARGE(($K$2:$K$20-ROW($K$2:$K$20)/10000),ROW($J10)),1))*10000</f>
        <v>17.999999999993577</v>
      </c>
      <c r="J34" s="4" t="str">
        <v>ESFP</v>
      </c>
      <c r="K34" s="4">
        <v>12</v>
      </c>
      <c r="L34" s="5">
        <v>3.7617554858934171E-2</v>
      </c>
      <c r="M34" s="5">
        <v>6.8099999999999994E-2</v>
      </c>
      <c r="N34" s="14" t="s">
        <v>316</v>
      </c>
      <c r="O34" s="14">
        <f>SUM(1-O33)</f>
        <v>0.48170000000000002</v>
      </c>
      <c r="P34" s="14">
        <f t="shared" si="5"/>
        <v>-3.0482445141065823E-2</v>
      </c>
      <c r="Q34" s="4">
        <v>0</v>
      </c>
    </row>
    <row r="35" spans="1:25" ht="15">
      <c r="A35" s="1" t="s">
        <v>29</v>
      </c>
      <c r="B35" s="1" t="s">
        <v>15</v>
      </c>
      <c r="C35" s="1" t="s">
        <v>4</v>
      </c>
      <c r="D35" s="1" t="s">
        <v>82</v>
      </c>
      <c r="E35" s="1"/>
      <c r="I35" s="4" cm="1">
        <f t="array" ref="I35">(1-MOD(LARGE(($K$2:$K$20-ROW($K$2:$K$20)/10000),ROW($J11)),1))*10000</f>
        <v>18.999999999991246</v>
      </c>
      <c r="J35" s="4" t="str">
        <v>ISTP</v>
      </c>
      <c r="K35" s="4">
        <v>11</v>
      </c>
      <c r="L35" s="5">
        <v>3.4482758620689655E-2</v>
      </c>
      <c r="M35" s="5">
        <v>3.5900000000000001E-2</v>
      </c>
      <c r="P35" s="14">
        <f t="shared" si="5"/>
        <v>-1.4172413793103467E-3</v>
      </c>
      <c r="Q35" s="14">
        <v>3.3333333333333298E-2</v>
      </c>
      <c r="R35" s="4" t="s">
        <v>327</v>
      </c>
      <c r="S35" s="14">
        <f t="shared" ref="S35:S42" si="6">U25</f>
        <v>0.14825799373040752</v>
      </c>
      <c r="T35" s="5" t="str" cm="1">
        <f t="array" ref="T35:U42">_xlfn._xlws.SORT(R35:S42,2,-1)</f>
        <v>Fi</v>
      </c>
      <c r="U35" s="5">
        <v>0.14825799373040752</v>
      </c>
      <c r="X35" s="6" t="s">
        <v>214</v>
      </c>
    </row>
    <row r="36" spans="1:25" ht="15">
      <c r="A36" s="1" t="s">
        <v>127</v>
      </c>
      <c r="B36" s="1" t="s">
        <v>15</v>
      </c>
      <c r="C36" s="1" t="s">
        <v>4</v>
      </c>
      <c r="D36" s="1" t="s">
        <v>72</v>
      </c>
      <c r="E36" s="1"/>
      <c r="I36" s="4" cm="1">
        <f t="array" ref="I36">(1-MOD(LARGE(($K$2:$K$20-ROW($K$2:$K$20)/10000),ROW($J12)),1))*10000</f>
        <v>14.000000000002899</v>
      </c>
      <c r="J36" s="4" t="str">
        <v>ISTJ</v>
      </c>
      <c r="K36" s="4">
        <v>9</v>
      </c>
      <c r="L36" s="5">
        <v>2.8213166144200628E-2</v>
      </c>
      <c r="M36" s="5">
        <v>4.7399999999999998E-2</v>
      </c>
      <c r="N36" s="4" t="s">
        <v>142</v>
      </c>
      <c r="O36" s="14">
        <f>SUM(M2:M5,M12,M14,M17,M19)</f>
        <v>0.33770000000000006</v>
      </c>
      <c r="P36" s="14">
        <f t="shared" si="5"/>
        <v>-1.9186833855799369E-2</v>
      </c>
      <c r="Q36" s="4">
        <v>0</v>
      </c>
      <c r="R36" s="4" t="s">
        <v>333</v>
      </c>
      <c r="S36" s="14">
        <f t="shared" si="6"/>
        <v>5.0800626959247641E-2</v>
      </c>
      <c r="T36" s="5" t="str">
        <v>Ti</v>
      </c>
      <c r="U36" s="5">
        <v>5.1200626959247653E-2</v>
      </c>
      <c r="X36" s="4">
        <f>SUM(X25:X33)</f>
        <v>30</v>
      </c>
    </row>
    <row r="37" spans="1:25" ht="15">
      <c r="A37" s="1" t="s">
        <v>61</v>
      </c>
      <c r="B37" s="1" t="s">
        <v>15</v>
      </c>
      <c r="C37" s="1" t="s">
        <v>4</v>
      </c>
      <c r="D37" s="1" t="s">
        <v>71</v>
      </c>
      <c r="E37" s="1"/>
      <c r="I37" s="4" cm="1">
        <f t="array" ref="I37">(1-MOD(LARGE(($K$2:$K$20-ROW($K$2:$K$20)/10000),ROW($J13)),1))*10000</f>
        <v>11.999999999998678</v>
      </c>
      <c r="J37" s="4" t="str">
        <v>ESTJ</v>
      </c>
      <c r="K37" s="4">
        <v>8</v>
      </c>
      <c r="L37" s="5">
        <v>2.5078369905956112E-2</v>
      </c>
      <c r="M37" s="5">
        <v>5.4100000000000002E-2</v>
      </c>
      <c r="N37" s="4" t="s">
        <v>317</v>
      </c>
      <c r="O37" s="14">
        <f>SUM(1-O36)</f>
        <v>0.66229999999999989</v>
      </c>
      <c r="P37" s="14">
        <f t="shared" si="5"/>
        <v>-2.902163009404389E-2</v>
      </c>
      <c r="Q37" s="14">
        <v>3.3333333333333298E-2</v>
      </c>
      <c r="R37" s="4" t="s">
        <v>325</v>
      </c>
      <c r="S37" s="14">
        <f t="shared" si="6"/>
        <v>5.1200626959247653E-2</v>
      </c>
      <c r="T37" s="5" t="str">
        <v>Ni</v>
      </c>
      <c r="U37" s="5">
        <v>5.0800626959247641E-2</v>
      </c>
    </row>
    <row r="38" spans="1:25" ht="15">
      <c r="A38" s="1" t="s">
        <v>83</v>
      </c>
      <c r="B38" s="1" t="s">
        <v>73</v>
      </c>
      <c r="C38" s="1" t="s">
        <v>4</v>
      </c>
      <c r="D38" s="1" t="s">
        <v>72</v>
      </c>
      <c r="E38" s="32" t="s">
        <v>513</v>
      </c>
      <c r="I38" s="4" cm="1">
        <f t="array" ref="I38">(1-MOD(LARGE(($K$2:$K$20-ROW($K$2:$K$20)/10000),ROW($J14)),1))*10000</f>
        <v>2.0000000000042206</v>
      </c>
      <c r="J38" s="4" t="str">
        <v>ENTJ</v>
      </c>
      <c r="K38" s="4">
        <v>7</v>
      </c>
      <c r="L38" s="5">
        <v>2.1943573667711599E-2</v>
      </c>
      <c r="M38" s="5">
        <v>3.0300000000000001E-2</v>
      </c>
      <c r="N38" s="14"/>
      <c r="P38" s="14">
        <f t="shared" si="5"/>
        <v>-8.3564263322884018E-3</v>
      </c>
      <c r="Q38" s="4">
        <v>0</v>
      </c>
      <c r="R38" s="4" t="s">
        <v>335</v>
      </c>
      <c r="S38" s="14">
        <f t="shared" si="6"/>
        <v>-1.8677742946708445E-2</v>
      </c>
      <c r="T38" s="5" t="str">
        <v>Ne</v>
      </c>
      <c r="U38" s="5">
        <v>-1.8677742946708445E-2</v>
      </c>
    </row>
    <row r="39" spans="1:25" ht="15">
      <c r="A39" s="1" t="s">
        <v>84</v>
      </c>
      <c r="B39" s="1"/>
      <c r="C39" s="1" t="s">
        <v>4</v>
      </c>
      <c r="D39" s="1" t="s">
        <v>72</v>
      </c>
      <c r="E39" s="1"/>
      <c r="I39" s="4" cm="1">
        <f t="array" ref="I39">(1-MOD(LARGE(($K$2:$K$20-ROW($K$2:$K$20)/10000),ROW($J15)),1))*10000</f>
        <v>12.999999999996348</v>
      </c>
      <c r="J39" s="4" t="str">
        <v>ESFJ</v>
      </c>
      <c r="K39" s="4">
        <v>6</v>
      </c>
      <c r="L39" s="5">
        <v>1.8808777429467086E-2</v>
      </c>
      <c r="M39" s="5">
        <v>0.10150000000000001</v>
      </c>
      <c r="N39" s="4" t="s">
        <v>318</v>
      </c>
      <c r="O39" s="14">
        <f>1-O40</f>
        <v>0.4788</v>
      </c>
      <c r="P39" s="14">
        <f t="shared" si="5"/>
        <v>-8.2691222570532921E-2</v>
      </c>
      <c r="Q39" s="4">
        <v>0</v>
      </c>
      <c r="R39" s="4" t="s">
        <v>337</v>
      </c>
      <c r="S39" s="14">
        <f t="shared" si="6"/>
        <v>-5.482570532915361E-2</v>
      </c>
      <c r="T39" s="5" t="str">
        <v>Te</v>
      </c>
      <c r="U39" s="5">
        <v>-3.7378056426332296E-2</v>
      </c>
    </row>
    <row r="40" spans="1:25" ht="14.4">
      <c r="A40" s="4" t="s">
        <v>192</v>
      </c>
      <c r="B40" s="6" t="s">
        <v>179</v>
      </c>
      <c r="C40" s="4" t="s">
        <v>4</v>
      </c>
      <c r="D40" s="6" t="s">
        <v>6</v>
      </c>
      <c r="I40" s="4" cm="1">
        <f t="array" ref="I40">(1-MOD(LARGE(($K$2:$K$20-ROW($K$2:$K$20)/10000),ROW($J16)),1))*10000</f>
        <v>16.999999999995907</v>
      </c>
      <c r="J40" s="4" t="str">
        <v>ESTP</v>
      </c>
      <c r="K40" s="4">
        <v>6</v>
      </c>
      <c r="L40" s="5">
        <v>1.8808777429467086E-2</v>
      </c>
      <c r="M40" s="5">
        <v>3.2000000000000001E-2</v>
      </c>
      <c r="N40" s="4" t="s">
        <v>319</v>
      </c>
      <c r="O40" s="14">
        <f>SUM(M17:M20,M10,M8,M5,M3)</f>
        <v>0.5212</v>
      </c>
      <c r="P40" s="14">
        <f t="shared" si="5"/>
        <v>-1.3191222570532915E-2</v>
      </c>
      <c r="Q40" s="4">
        <v>0</v>
      </c>
      <c r="R40" s="4" t="s">
        <v>329</v>
      </c>
      <c r="S40" s="14">
        <f t="shared" si="6"/>
        <v>-9.5704075235109737E-2</v>
      </c>
      <c r="T40" s="5" t="str">
        <v>Se</v>
      </c>
      <c r="U40" s="5">
        <v>-4.3673667711598738E-2</v>
      </c>
    </row>
    <row r="41" spans="1:25" ht="14.4">
      <c r="A41" s="4" t="s">
        <v>208</v>
      </c>
      <c r="B41" s="6" t="s">
        <v>179</v>
      </c>
      <c r="C41" s="4" t="s">
        <v>4</v>
      </c>
      <c r="D41" s="6" t="s">
        <v>6</v>
      </c>
      <c r="E41" s="4" t="s">
        <v>211</v>
      </c>
      <c r="J41" s="4">
        <v>0</v>
      </c>
      <c r="K41" s="4">
        <v>0</v>
      </c>
      <c r="L41" s="4">
        <v>0</v>
      </c>
      <c r="M41" s="4">
        <v>0</v>
      </c>
      <c r="R41" s="4" t="s">
        <v>339</v>
      </c>
      <c r="S41" s="14">
        <f t="shared" si="6"/>
        <v>-4.3673667711598738E-2</v>
      </c>
      <c r="T41" s="5" t="str">
        <v>Si</v>
      </c>
      <c r="U41" s="5">
        <v>-5.482570532915361E-2</v>
      </c>
    </row>
    <row r="42" spans="1:25" ht="14.4">
      <c r="A42" s="4" t="s">
        <v>228</v>
      </c>
      <c r="B42" s="4" t="s">
        <v>15</v>
      </c>
      <c r="C42" s="4" t="s">
        <v>4</v>
      </c>
      <c r="D42" s="6" t="s">
        <v>6</v>
      </c>
      <c r="J42" s="4">
        <v>0</v>
      </c>
      <c r="K42" s="4">
        <v>0</v>
      </c>
      <c r="L42" s="4">
        <v>0</v>
      </c>
      <c r="M42" s="4">
        <v>0</v>
      </c>
      <c r="R42" s="4" t="s">
        <v>331</v>
      </c>
      <c r="S42" s="14">
        <f t="shared" si="6"/>
        <v>-3.7378056426332296E-2</v>
      </c>
      <c r="T42" s="5" t="str">
        <v>Fe</v>
      </c>
      <c r="U42" s="5">
        <v>-9.5704075235109737E-2</v>
      </c>
    </row>
    <row r="43" spans="1:25" ht="14.4">
      <c r="A43" s="4" t="s">
        <v>268</v>
      </c>
      <c r="B43" s="6" t="s">
        <v>185</v>
      </c>
      <c r="C43" s="4" t="s">
        <v>4</v>
      </c>
      <c r="D43" s="6" t="s">
        <v>6</v>
      </c>
      <c r="J43" s="4">
        <v>0</v>
      </c>
      <c r="K43" s="4">
        <v>0</v>
      </c>
      <c r="L43" s="4">
        <v>0</v>
      </c>
      <c r="M43" s="4">
        <v>0</v>
      </c>
      <c r="S43" s="14">
        <f>SUM(S35:S42)</f>
        <v>0</v>
      </c>
    </row>
    <row r="44" spans="1:25" ht="14.4">
      <c r="A44" s="7" t="s">
        <v>283</v>
      </c>
      <c r="B44" s="6" t="s">
        <v>176</v>
      </c>
      <c r="C44" s="4" t="s">
        <v>4</v>
      </c>
      <c r="D44" s="6" t="s">
        <v>6</v>
      </c>
    </row>
    <row r="45" spans="1:25" ht="15">
      <c r="A45" s="1" t="s">
        <v>8</v>
      </c>
      <c r="B45" s="1" t="s">
        <v>73</v>
      </c>
      <c r="C45" s="1" t="s">
        <v>17</v>
      </c>
      <c r="D45" s="1" t="s">
        <v>72</v>
      </c>
      <c r="E45" s="1"/>
      <c r="L45" s="14">
        <f>SUM(L25:L40)</f>
        <v>1</v>
      </c>
      <c r="M45" s="14">
        <f>SUM(M2:M17)</f>
        <v>0.81190000000000007</v>
      </c>
    </row>
    <row r="46" spans="1:25" ht="15">
      <c r="A46" s="1" t="s">
        <v>34</v>
      </c>
      <c r="B46" s="1" t="s">
        <v>85</v>
      </c>
      <c r="C46" s="1" t="s">
        <v>17</v>
      </c>
      <c r="D46" s="1" t="s">
        <v>72</v>
      </c>
      <c r="E46" s="1"/>
    </row>
    <row r="47" spans="1:25" ht="15">
      <c r="A47" s="1" t="s">
        <v>39</v>
      </c>
      <c r="B47" s="1" t="s">
        <v>85</v>
      </c>
      <c r="C47" s="1" t="s">
        <v>17</v>
      </c>
      <c r="D47" s="1" t="s">
        <v>72</v>
      </c>
      <c r="E47" s="1" t="s">
        <v>86</v>
      </c>
    </row>
    <row r="48" spans="1:25" ht="15">
      <c r="A48" s="1" t="s">
        <v>53</v>
      </c>
      <c r="B48" s="1" t="s">
        <v>85</v>
      </c>
      <c r="C48" s="1" t="s">
        <v>17</v>
      </c>
      <c r="D48" s="1" t="s">
        <v>15</v>
      </c>
      <c r="E48" s="1" t="s">
        <v>87</v>
      </c>
    </row>
    <row r="49" spans="1:11" ht="15">
      <c r="A49" s="1" t="s">
        <v>129</v>
      </c>
      <c r="B49" s="1" t="s">
        <v>85</v>
      </c>
      <c r="C49" s="1" t="s">
        <v>17</v>
      </c>
      <c r="D49" s="1" t="s">
        <v>79</v>
      </c>
      <c r="E49" s="1"/>
    </row>
    <row r="50" spans="1:11" ht="15">
      <c r="A50" s="1" t="s">
        <v>130</v>
      </c>
      <c r="B50" s="1" t="s">
        <v>73</v>
      </c>
      <c r="C50" s="1" t="s">
        <v>17</v>
      </c>
      <c r="D50" s="1" t="s">
        <v>72</v>
      </c>
      <c r="E50" s="1"/>
    </row>
    <row r="51" spans="1:11" ht="15">
      <c r="A51" s="1" t="s">
        <v>37</v>
      </c>
      <c r="B51" s="1" t="s">
        <v>73</v>
      </c>
      <c r="C51" s="1" t="s">
        <v>17</v>
      </c>
      <c r="D51" s="1" t="s">
        <v>72</v>
      </c>
      <c r="E51" s="1" t="s">
        <v>86</v>
      </c>
      <c r="J51" s="4" t="s">
        <v>170</v>
      </c>
    </row>
    <row r="52" spans="1:11" ht="15">
      <c r="A52" s="1" t="s">
        <v>38</v>
      </c>
      <c r="B52" s="1" t="s">
        <v>73</v>
      </c>
      <c r="C52" s="1" t="s">
        <v>17</v>
      </c>
      <c r="D52" s="1" t="s">
        <v>72</v>
      </c>
      <c r="E52" s="1" t="s">
        <v>89</v>
      </c>
      <c r="J52" s="1" t="s">
        <v>3</v>
      </c>
      <c r="K52" s="10">
        <v>0.367088607594937</v>
      </c>
    </row>
    <row r="53" spans="1:11" ht="15">
      <c r="A53" s="1" t="s">
        <v>42</v>
      </c>
      <c r="B53" s="1" t="s">
        <v>73</v>
      </c>
      <c r="C53" s="1" t="s">
        <v>17</v>
      </c>
      <c r="D53" s="1" t="s">
        <v>71</v>
      </c>
      <c r="E53" s="1"/>
      <c r="J53" s="1" t="s">
        <v>17</v>
      </c>
      <c r="K53" s="10">
        <v>0.177215189873418</v>
      </c>
    </row>
    <row r="54" spans="1:11" ht="15">
      <c r="A54" s="1" t="s">
        <v>43</v>
      </c>
      <c r="B54" s="1" t="s">
        <v>73</v>
      </c>
      <c r="C54" s="1" t="s">
        <v>17</v>
      </c>
      <c r="D54" s="1" t="s">
        <v>71</v>
      </c>
      <c r="E54" s="1"/>
      <c r="J54" s="1" t="s">
        <v>20</v>
      </c>
      <c r="K54" s="10">
        <v>0.16455696202531644</v>
      </c>
    </row>
    <row r="55" spans="1:11" ht="15">
      <c r="A55" s="1" t="s">
        <v>47</v>
      </c>
      <c r="B55" s="1" t="s">
        <v>73</v>
      </c>
      <c r="C55" s="1" t="s">
        <v>17</v>
      </c>
      <c r="D55" s="1" t="s">
        <v>78</v>
      </c>
      <c r="E55" s="1"/>
      <c r="J55" s="1" t="s">
        <v>26</v>
      </c>
      <c r="K55" s="10">
        <v>0.11392405063291139</v>
      </c>
    </row>
    <row r="56" spans="1:11" ht="15">
      <c r="A56" s="1" t="s">
        <v>59</v>
      </c>
      <c r="B56" s="1" t="s">
        <v>73</v>
      </c>
      <c r="C56" s="1" t="s">
        <v>17</v>
      </c>
      <c r="D56" s="1" t="s">
        <v>79</v>
      </c>
      <c r="E56" s="1" t="s">
        <v>60</v>
      </c>
      <c r="J56" s="1" t="s">
        <v>4</v>
      </c>
      <c r="K56" s="10">
        <v>8.8607594936708861E-2</v>
      </c>
    </row>
    <row r="57" spans="1:11" ht="15">
      <c r="A57" s="1" t="s">
        <v>131</v>
      </c>
      <c r="B57" s="1" t="s">
        <v>15</v>
      </c>
      <c r="C57" s="1" t="s">
        <v>17</v>
      </c>
      <c r="D57" s="1" t="s">
        <v>15</v>
      </c>
      <c r="E57" s="1"/>
      <c r="J57" s="1" t="s">
        <v>7</v>
      </c>
      <c r="K57" s="10">
        <v>5.0632911392405063E-2</v>
      </c>
    </row>
    <row r="58" spans="1:11" ht="15">
      <c r="A58" s="1" t="s">
        <v>66</v>
      </c>
      <c r="B58" s="1" t="s">
        <v>85</v>
      </c>
      <c r="C58" s="1" t="s">
        <v>17</v>
      </c>
      <c r="D58" s="1" t="s">
        <v>71</v>
      </c>
      <c r="E58" s="1" t="s">
        <v>132</v>
      </c>
      <c r="J58" s="1" t="s">
        <v>13</v>
      </c>
      <c r="K58" s="10">
        <v>2.5316455696202531E-2</v>
      </c>
    </row>
    <row r="59" spans="1:11" ht="15.6" customHeight="1">
      <c r="A59" s="4" t="s">
        <v>152</v>
      </c>
      <c r="B59" s="4" t="s">
        <v>15</v>
      </c>
      <c r="C59" s="4" t="s">
        <v>17</v>
      </c>
      <c r="D59" s="4" t="s">
        <v>150</v>
      </c>
      <c r="J59" s="1" t="s">
        <v>44</v>
      </c>
      <c r="K59" s="10">
        <v>1.26582278481013E-2</v>
      </c>
    </row>
    <row r="60" spans="1:11" ht="18" customHeight="1">
      <c r="A60" s="4" t="s">
        <v>229</v>
      </c>
      <c r="B60" s="6" t="s">
        <v>179</v>
      </c>
      <c r="C60" s="4" t="s">
        <v>17</v>
      </c>
      <c r="D60" s="6" t="s">
        <v>6</v>
      </c>
    </row>
    <row r="61" spans="1:11" ht="14.4" customHeight="1">
      <c r="A61" s="7" t="s">
        <v>231</v>
      </c>
      <c r="B61" s="6" t="s">
        <v>176</v>
      </c>
      <c r="C61" s="4" t="s">
        <v>17</v>
      </c>
      <c r="D61" s="6" t="s">
        <v>6</v>
      </c>
      <c r="J61" s="6" t="s">
        <v>171</v>
      </c>
    </row>
    <row r="62" spans="1:11" ht="13.8" customHeight="1">
      <c r="A62" s="7" t="s">
        <v>232</v>
      </c>
      <c r="B62" s="4" t="s">
        <v>15</v>
      </c>
      <c r="C62" s="4" t="s">
        <v>17</v>
      </c>
      <c r="D62" s="6" t="s">
        <v>6</v>
      </c>
      <c r="J62" s="1" t="s">
        <v>28</v>
      </c>
      <c r="K62" s="11">
        <v>0.22222222222222221</v>
      </c>
    </row>
    <row r="63" spans="1:11" ht="13.8" customHeight="1">
      <c r="A63" s="4" t="s">
        <v>244</v>
      </c>
      <c r="B63" s="6" t="s">
        <v>179</v>
      </c>
      <c r="C63" s="4" t="s">
        <v>17</v>
      </c>
      <c r="D63" s="4" t="s">
        <v>226</v>
      </c>
      <c r="J63" s="1" t="s">
        <v>2</v>
      </c>
      <c r="K63" s="11">
        <v>0.18518518518518501</v>
      </c>
    </row>
    <row r="64" spans="1:11">
      <c r="A64" s="4" t="s">
        <v>260</v>
      </c>
      <c r="B64" s="4" t="s">
        <v>15</v>
      </c>
      <c r="C64" s="4" t="s">
        <v>17</v>
      </c>
      <c r="D64" s="4" t="s">
        <v>226</v>
      </c>
      <c r="J64" s="1" t="s">
        <v>9</v>
      </c>
      <c r="K64" s="11">
        <v>0.18518518518518517</v>
      </c>
    </row>
    <row r="65" spans="1:11" ht="14.4">
      <c r="A65" s="4" t="s">
        <v>270</v>
      </c>
      <c r="B65" s="4" t="s">
        <v>15</v>
      </c>
      <c r="C65" s="4" t="s">
        <v>17</v>
      </c>
      <c r="D65" s="6" t="s">
        <v>6</v>
      </c>
      <c r="J65" s="1" t="s">
        <v>18</v>
      </c>
      <c r="K65" s="11">
        <v>0.14814814814814814</v>
      </c>
    </row>
    <row r="66" spans="1:11" ht="14.4">
      <c r="A66" s="4" t="s">
        <v>279</v>
      </c>
      <c r="B66" s="6" t="s">
        <v>176</v>
      </c>
      <c r="C66" s="4" t="s">
        <v>17</v>
      </c>
      <c r="D66" s="6" t="s">
        <v>6</v>
      </c>
      <c r="J66" s="1" t="s">
        <v>11</v>
      </c>
      <c r="K66" s="11">
        <v>0.1111111111111111</v>
      </c>
    </row>
    <row r="67" spans="1:11" ht="15">
      <c r="A67" s="1" t="s">
        <v>12</v>
      </c>
      <c r="B67" s="1" t="s">
        <v>73</v>
      </c>
      <c r="C67" s="1" t="s">
        <v>13</v>
      </c>
      <c r="D67" s="1" t="s">
        <v>72</v>
      </c>
      <c r="E67" s="1"/>
      <c r="J67" s="1" t="s">
        <v>48</v>
      </c>
      <c r="K67" s="11">
        <v>0.1111111111111111</v>
      </c>
    </row>
    <row r="68" spans="1:11" ht="14.4">
      <c r="A68" s="4" t="s">
        <v>143</v>
      </c>
      <c r="B68" s="4" t="s">
        <v>15</v>
      </c>
      <c r="C68" s="4" t="s">
        <v>13</v>
      </c>
      <c r="D68" s="4" t="s">
        <v>150</v>
      </c>
      <c r="E68" s="4" t="s">
        <v>142</v>
      </c>
      <c r="J68" s="1" t="s">
        <v>22</v>
      </c>
      <c r="K68" s="11">
        <v>3.7037037037037E-2</v>
      </c>
    </row>
    <row r="69" spans="1:11" ht="14.4">
      <c r="A69" s="4" t="s">
        <v>178</v>
      </c>
      <c r="B69" s="6" t="s">
        <v>179</v>
      </c>
      <c r="C69" s="4" t="s">
        <v>13</v>
      </c>
      <c r="D69" s="6" t="s">
        <v>6</v>
      </c>
      <c r="E69" s="6" t="s">
        <v>180</v>
      </c>
      <c r="J69" s="1" t="s">
        <v>67</v>
      </c>
      <c r="K69" s="11">
        <v>0</v>
      </c>
    </row>
    <row r="70" spans="1:11" ht="14.4">
      <c r="A70" s="4" t="s">
        <v>193</v>
      </c>
      <c r="B70" s="6" t="s">
        <v>179</v>
      </c>
      <c r="C70" s="4" t="s">
        <v>13</v>
      </c>
      <c r="D70" s="6" t="s">
        <v>6</v>
      </c>
    </row>
    <row r="71" spans="1:11" ht="14.4">
      <c r="A71" s="4" t="s">
        <v>197</v>
      </c>
      <c r="B71" s="6" t="s">
        <v>179</v>
      </c>
      <c r="C71" s="4" t="s">
        <v>13</v>
      </c>
      <c r="D71" s="6" t="s">
        <v>6</v>
      </c>
    </row>
    <row r="72" spans="1:11" ht="14.4">
      <c r="A72" s="4" t="s">
        <v>247</v>
      </c>
      <c r="B72" s="6" t="s">
        <v>185</v>
      </c>
      <c r="C72" s="4" t="s">
        <v>13</v>
      </c>
      <c r="D72" s="6" t="s">
        <v>399</v>
      </c>
      <c r="E72" s="7" t="s">
        <v>402</v>
      </c>
      <c r="F72" s="30" t="s">
        <v>176</v>
      </c>
      <c r="K72" s="4" t="s">
        <v>295</v>
      </c>
    </row>
    <row r="73" spans="1:11" ht="14.4">
      <c r="A73" s="4" t="s">
        <v>278</v>
      </c>
      <c r="B73" s="4" t="s">
        <v>15</v>
      </c>
      <c r="C73" s="4" t="s">
        <v>13</v>
      </c>
      <c r="D73" s="6" t="s">
        <v>6</v>
      </c>
      <c r="G73" s="4" t="str">
        <f t="shared" ref="G73:G88" si="7">J25</f>
        <v>INFP</v>
      </c>
      <c r="H73" s="14">
        <f t="shared" ref="H73:H88" si="8">P25</f>
        <v>0.12890971786833855</v>
      </c>
      <c r="J73" s="4" t="str" cm="1">
        <f t="array" ref="J73:K88">_xlfn._xlws.SORT(G73:H88,2,-1)</f>
        <v>INFP</v>
      </c>
      <c r="K73" s="5">
        <v>0.12890971786833855</v>
      </c>
    </row>
    <row r="74" spans="1:11" ht="14.4">
      <c r="A74" s="6" t="s">
        <v>296</v>
      </c>
      <c r="B74" s="6" t="s">
        <v>176</v>
      </c>
      <c r="C74" s="4" t="s">
        <v>13</v>
      </c>
      <c r="D74" s="6" t="s">
        <v>6</v>
      </c>
      <c r="E74" s="6" t="s">
        <v>381</v>
      </c>
      <c r="G74" s="4" t="str">
        <f t="shared" si="7"/>
        <v>INTP</v>
      </c>
      <c r="H74" s="14">
        <f t="shared" si="8"/>
        <v>5.2617868338557999E-2</v>
      </c>
      <c r="J74" s="4" t="str">
        <v>INTP</v>
      </c>
      <c r="K74" s="5">
        <v>5.2617868338557999E-2</v>
      </c>
    </row>
    <row r="75" spans="1:11" ht="14.4">
      <c r="A75" s="4" t="s">
        <v>178</v>
      </c>
      <c r="B75" s="4" t="s">
        <v>15</v>
      </c>
      <c r="C75" s="4" t="s">
        <v>13</v>
      </c>
      <c r="D75" s="6" t="s">
        <v>6</v>
      </c>
      <c r="G75" s="4" t="str">
        <f t="shared" si="7"/>
        <v>ISFP</v>
      </c>
      <c r="H75" s="14">
        <f t="shared" si="8"/>
        <v>1.934827586206897E-2</v>
      </c>
      <c r="J75" s="4" t="str">
        <v>INFJ</v>
      </c>
      <c r="K75" s="5">
        <v>3.8043887147335427E-2</v>
      </c>
    </row>
    <row r="76" spans="1:11" ht="15">
      <c r="A76" s="1" t="s">
        <v>133</v>
      </c>
      <c r="B76" s="1" t="s">
        <v>85</v>
      </c>
      <c r="C76" s="1" t="s">
        <v>3</v>
      </c>
      <c r="D76" s="1" t="s">
        <v>72</v>
      </c>
      <c r="E76" s="1"/>
      <c r="G76" s="4" t="str">
        <f t="shared" si="7"/>
        <v>INFJ</v>
      </c>
      <c r="H76" s="14">
        <f t="shared" si="8"/>
        <v>3.8043887147335427E-2</v>
      </c>
      <c r="J76" s="4" t="str">
        <v>ISFP</v>
      </c>
      <c r="K76" s="5">
        <v>1.934827586206897E-2</v>
      </c>
    </row>
    <row r="77" spans="1:11" ht="15">
      <c r="A77" s="1" t="s">
        <v>32</v>
      </c>
      <c r="B77" s="1" t="s">
        <v>85</v>
      </c>
      <c r="C77" s="1" t="s">
        <v>3</v>
      </c>
      <c r="D77" s="1" t="s">
        <v>81</v>
      </c>
      <c r="E77" s="1"/>
      <c r="G77" s="4" t="str">
        <f t="shared" si="7"/>
        <v>ENFP</v>
      </c>
      <c r="H77" s="14">
        <f t="shared" si="8"/>
        <v>-1.2795297805642633E-2</v>
      </c>
      <c r="J77" s="4" t="str">
        <v>INTJ</v>
      </c>
      <c r="K77" s="5">
        <v>1.2756739811912221E-2</v>
      </c>
    </row>
    <row r="78" spans="1:11" ht="15">
      <c r="A78" s="1" t="s">
        <v>90</v>
      </c>
      <c r="B78" s="1" t="s">
        <v>85</v>
      </c>
      <c r="C78" s="1" t="s">
        <v>3</v>
      </c>
      <c r="D78" s="1" t="s">
        <v>72</v>
      </c>
      <c r="E78" s="1"/>
      <c r="G78" s="4" t="str">
        <f t="shared" si="7"/>
        <v>ISFJ</v>
      </c>
      <c r="H78" s="14">
        <f t="shared" si="8"/>
        <v>-3.563887147335424E-2</v>
      </c>
      <c r="J78" s="4" t="str">
        <v>ISTP</v>
      </c>
      <c r="K78" s="5">
        <v>-1.4172413793103467E-3</v>
      </c>
    </row>
    <row r="79" spans="1:11" ht="15">
      <c r="A79" s="1" t="s">
        <v>5</v>
      </c>
      <c r="B79" s="1" t="s">
        <v>73</v>
      </c>
      <c r="C79" s="1" t="s">
        <v>3</v>
      </c>
      <c r="D79" s="1" t="s">
        <v>81</v>
      </c>
      <c r="E79" s="1"/>
      <c r="G79" s="4" t="str">
        <f t="shared" si="7"/>
        <v>INTJ</v>
      </c>
      <c r="H79" s="14">
        <f t="shared" si="8"/>
        <v>1.2756739811912221E-2</v>
      </c>
      <c r="J79" s="4" t="str">
        <v>ENTP</v>
      </c>
      <c r="K79" s="5">
        <v>-5.8824451410658257E-3</v>
      </c>
    </row>
    <row r="80" spans="1:11" ht="15">
      <c r="A80" s="1" t="s">
        <v>23</v>
      </c>
      <c r="B80" s="1" t="s">
        <v>73</v>
      </c>
      <c r="C80" s="1" t="s">
        <v>3</v>
      </c>
      <c r="D80" s="1" t="s">
        <v>72</v>
      </c>
      <c r="E80" s="1"/>
      <c r="G80" s="4" t="str">
        <f t="shared" si="7"/>
        <v>ENFJ</v>
      </c>
      <c r="H80" s="14">
        <f t="shared" si="8"/>
        <v>-1.3012852664576802E-2</v>
      </c>
      <c r="J80" s="4" t="str">
        <v>ENTJ</v>
      </c>
      <c r="K80" s="5">
        <v>-8.3564263322884018E-3</v>
      </c>
    </row>
    <row r="81" spans="1:40" ht="15">
      <c r="A81" s="1" t="s">
        <v>91</v>
      </c>
      <c r="B81" s="1" t="s">
        <v>73</v>
      </c>
      <c r="C81" s="1" t="s">
        <v>3</v>
      </c>
      <c r="D81" s="1" t="s">
        <v>72</v>
      </c>
      <c r="E81" s="1"/>
      <c r="G81" s="4" t="str">
        <f t="shared" si="7"/>
        <v>ENTP</v>
      </c>
      <c r="H81" s="14">
        <f t="shared" si="8"/>
        <v>-5.8824451410658257E-3</v>
      </c>
      <c r="J81" s="4" t="str">
        <v>ENFP</v>
      </c>
      <c r="K81" s="5">
        <v>-1.2795297805642633E-2</v>
      </c>
    </row>
    <row r="82" spans="1:40" ht="15">
      <c r="A82" s="1" t="s">
        <v>92</v>
      </c>
      <c r="B82" s="1" t="s">
        <v>73</v>
      </c>
      <c r="C82" s="1" t="s">
        <v>3</v>
      </c>
      <c r="D82" s="1" t="s">
        <v>72</v>
      </c>
      <c r="E82" s="1"/>
      <c r="G82" s="4" t="str">
        <f t="shared" si="7"/>
        <v>ESFP</v>
      </c>
      <c r="H82" s="14">
        <f t="shared" si="8"/>
        <v>-3.0482445141065823E-2</v>
      </c>
      <c r="J82" s="4" t="str">
        <v>ENFJ</v>
      </c>
      <c r="K82" s="5">
        <v>-1.3012852664576802E-2</v>
      </c>
    </row>
    <row r="83" spans="1:40" ht="15">
      <c r="A83" s="1" t="s">
        <v>93</v>
      </c>
      <c r="B83" s="1" t="s">
        <v>73</v>
      </c>
      <c r="C83" s="1" t="s">
        <v>3</v>
      </c>
      <c r="D83" s="1" t="s">
        <v>72</v>
      </c>
      <c r="E83" s="1"/>
      <c r="G83" s="4" t="str">
        <f t="shared" si="7"/>
        <v>ISTP</v>
      </c>
      <c r="H83" s="14">
        <f t="shared" si="8"/>
        <v>-1.4172413793103467E-3</v>
      </c>
      <c r="J83" s="4" t="str">
        <v>ESTP</v>
      </c>
      <c r="K83" s="5">
        <v>-1.3191222570532915E-2</v>
      </c>
    </row>
    <row r="84" spans="1:40" ht="15">
      <c r="A84" s="1" t="s">
        <v>94</v>
      </c>
      <c r="B84" s="1" t="s">
        <v>73</v>
      </c>
      <c r="C84" s="1" t="s">
        <v>3</v>
      </c>
      <c r="D84" s="1" t="s">
        <v>72</v>
      </c>
      <c r="E84" s="1"/>
      <c r="G84" s="4" t="str">
        <f t="shared" si="7"/>
        <v>ISTJ</v>
      </c>
      <c r="H84" s="14">
        <f t="shared" si="8"/>
        <v>-1.9186833855799369E-2</v>
      </c>
      <c r="J84" s="4" t="str">
        <v>ISTJ</v>
      </c>
      <c r="K84" s="5">
        <v>-1.9186833855799369E-2</v>
      </c>
      <c r="AN84" s="4" t="s">
        <v>350</v>
      </c>
    </row>
    <row r="85" spans="1:40" ht="15">
      <c r="A85" s="1" t="s">
        <v>134</v>
      </c>
      <c r="B85" s="1" t="s">
        <v>73</v>
      </c>
      <c r="C85" s="1" t="s">
        <v>3</v>
      </c>
      <c r="D85" s="1" t="s">
        <v>79</v>
      </c>
      <c r="E85" s="1"/>
      <c r="G85" s="4" t="str">
        <f t="shared" si="7"/>
        <v>ESTJ</v>
      </c>
      <c r="H85" s="14">
        <f t="shared" si="8"/>
        <v>-2.902163009404389E-2</v>
      </c>
      <c r="J85" s="4" t="str">
        <v>ESTJ</v>
      </c>
      <c r="K85" s="5">
        <v>-2.902163009404389E-2</v>
      </c>
    </row>
    <row r="86" spans="1:40" ht="15">
      <c r="A86" s="1" t="s">
        <v>95</v>
      </c>
      <c r="B86" s="1" t="s">
        <v>73</v>
      </c>
      <c r="C86" s="1" t="s">
        <v>3</v>
      </c>
      <c r="D86" s="1" t="s">
        <v>72</v>
      </c>
      <c r="E86" s="1"/>
      <c r="G86" s="4" t="str">
        <f t="shared" si="7"/>
        <v>ENTJ</v>
      </c>
      <c r="H86" s="14">
        <f t="shared" si="8"/>
        <v>-8.3564263322884018E-3</v>
      </c>
      <c r="J86" s="4" t="str">
        <v>ESFP</v>
      </c>
      <c r="K86" s="5">
        <v>-3.0482445141065823E-2</v>
      </c>
    </row>
    <row r="87" spans="1:40" ht="15">
      <c r="A87" s="1" t="s">
        <v>55</v>
      </c>
      <c r="B87" s="1" t="s">
        <v>73</v>
      </c>
      <c r="C87" s="1" t="s">
        <v>3</v>
      </c>
      <c r="D87" s="1" t="s">
        <v>72</v>
      </c>
      <c r="E87" s="1"/>
      <c r="G87" s="4" t="str">
        <f t="shared" si="7"/>
        <v>ESFJ</v>
      </c>
      <c r="H87" s="14">
        <f t="shared" si="8"/>
        <v>-8.2691222570532921E-2</v>
      </c>
      <c r="J87" s="4" t="str">
        <v>ISFJ</v>
      </c>
      <c r="K87" s="5">
        <v>-3.563887147335424E-2</v>
      </c>
    </row>
    <row r="88" spans="1:40" ht="15">
      <c r="A88" s="1" t="s">
        <v>96</v>
      </c>
      <c r="B88" s="1" t="s">
        <v>71</v>
      </c>
      <c r="C88" s="1" t="s">
        <v>3</v>
      </c>
      <c r="D88" s="1" t="s">
        <v>72</v>
      </c>
      <c r="E88" s="1"/>
      <c r="G88" s="4" t="str">
        <f t="shared" si="7"/>
        <v>ESTP</v>
      </c>
      <c r="H88" s="14">
        <f t="shared" si="8"/>
        <v>-1.3191222570532915E-2</v>
      </c>
      <c r="J88" s="4" t="str">
        <v>ESFJ</v>
      </c>
      <c r="K88" s="5">
        <v>-8.2691222570532921E-2</v>
      </c>
      <c r="O88" s="4" t="s">
        <v>324</v>
      </c>
    </row>
    <row r="89" spans="1:40" ht="15">
      <c r="A89" s="1" t="s">
        <v>25</v>
      </c>
      <c r="B89" s="1" t="s">
        <v>15</v>
      </c>
      <c r="C89" s="1" t="s">
        <v>3</v>
      </c>
      <c r="D89" s="1" t="s">
        <v>71</v>
      </c>
      <c r="E89" s="1"/>
    </row>
    <row r="90" spans="1:40" ht="15">
      <c r="A90" s="1" t="s">
        <v>97</v>
      </c>
      <c r="B90" s="1" t="s">
        <v>15</v>
      </c>
      <c r="C90" s="1" t="s">
        <v>3</v>
      </c>
      <c r="D90" s="1" t="s">
        <v>72</v>
      </c>
      <c r="E90" s="1"/>
      <c r="K90" s="14"/>
    </row>
    <row r="91" spans="1:40" ht="15">
      <c r="A91" s="1" t="s">
        <v>135</v>
      </c>
      <c r="B91" s="1" t="s">
        <v>71</v>
      </c>
      <c r="C91" s="1" t="s">
        <v>3</v>
      </c>
      <c r="D91" s="1" t="s">
        <v>72</v>
      </c>
      <c r="E91" s="1"/>
      <c r="K91" s="14"/>
    </row>
    <row r="92" spans="1:40" ht="15">
      <c r="A92" s="1" t="s">
        <v>35</v>
      </c>
      <c r="B92" s="1" t="s">
        <v>71</v>
      </c>
      <c r="C92" s="1" t="s">
        <v>3</v>
      </c>
      <c r="D92" s="1" t="s">
        <v>72</v>
      </c>
      <c r="E92" s="1"/>
      <c r="K92" s="14"/>
    </row>
    <row r="93" spans="1:40" ht="15">
      <c r="A93" s="1" t="s">
        <v>36</v>
      </c>
      <c r="B93" s="1" t="s">
        <v>15</v>
      </c>
      <c r="C93" s="1" t="s">
        <v>3</v>
      </c>
      <c r="D93" s="1" t="s">
        <v>98</v>
      </c>
      <c r="E93" s="1"/>
    </row>
    <row r="94" spans="1:40" ht="15">
      <c r="A94" s="1" t="s">
        <v>207</v>
      </c>
      <c r="B94" s="1" t="s">
        <v>71</v>
      </c>
      <c r="C94" s="1" t="s">
        <v>3</v>
      </c>
      <c r="D94" s="1" t="s">
        <v>72</v>
      </c>
      <c r="E94" s="1"/>
      <c r="K94" s="14"/>
    </row>
    <row r="95" spans="1:40" ht="15">
      <c r="A95" s="1" t="s">
        <v>41</v>
      </c>
      <c r="B95" s="1" t="s">
        <v>71</v>
      </c>
      <c r="C95" s="1" t="s">
        <v>3</v>
      </c>
      <c r="D95" s="1" t="s">
        <v>71</v>
      </c>
      <c r="E95" s="1"/>
      <c r="K95" s="14"/>
    </row>
    <row r="96" spans="1:40" ht="15">
      <c r="A96" s="1" t="s">
        <v>136</v>
      </c>
      <c r="B96" s="1" t="s">
        <v>15</v>
      </c>
      <c r="C96" s="1" t="s">
        <v>3</v>
      </c>
      <c r="D96" s="1" t="s">
        <v>78</v>
      </c>
      <c r="E96" s="1"/>
      <c r="K96" s="14"/>
    </row>
    <row r="97" spans="1:11" ht="15">
      <c r="A97" s="1" t="s">
        <v>58</v>
      </c>
      <c r="B97" s="1" t="s">
        <v>15</v>
      </c>
      <c r="C97" s="1" t="s">
        <v>3</v>
      </c>
      <c r="D97" s="1" t="s">
        <v>72</v>
      </c>
      <c r="E97" s="1"/>
      <c r="K97" s="14"/>
    </row>
    <row r="98" spans="1:11" ht="15">
      <c r="A98" s="1" t="s">
        <v>63</v>
      </c>
      <c r="B98" s="1" t="s">
        <v>15</v>
      </c>
      <c r="C98" s="1" t="s">
        <v>3</v>
      </c>
      <c r="D98" s="1" t="s">
        <v>72</v>
      </c>
      <c r="E98" s="1"/>
      <c r="K98" s="14"/>
    </row>
    <row r="99" spans="1:11" ht="15">
      <c r="A99" s="1" t="s">
        <v>51</v>
      </c>
      <c r="B99" s="1"/>
      <c r="C99" s="1" t="s">
        <v>3</v>
      </c>
      <c r="D99" s="1" t="s">
        <v>72</v>
      </c>
      <c r="E99" s="1"/>
      <c r="K99" s="14"/>
    </row>
    <row r="100" spans="1:11" ht="15">
      <c r="A100" s="1" t="s">
        <v>99</v>
      </c>
      <c r="B100" s="1"/>
      <c r="C100" s="1" t="s">
        <v>3</v>
      </c>
      <c r="D100" s="1" t="s">
        <v>72</v>
      </c>
      <c r="E100" s="1"/>
      <c r="K100" s="14"/>
    </row>
    <row r="101" spans="1:11" ht="15">
      <c r="A101" s="1" t="s">
        <v>100</v>
      </c>
      <c r="B101" s="1" t="s">
        <v>71</v>
      </c>
      <c r="C101" s="1" t="s">
        <v>3</v>
      </c>
      <c r="D101" s="1" t="s">
        <v>72</v>
      </c>
      <c r="E101" s="1"/>
      <c r="K101" s="14"/>
    </row>
    <row r="102" spans="1:11" ht="14.4">
      <c r="A102" s="4" t="s">
        <v>153</v>
      </c>
      <c r="B102" s="4" t="s">
        <v>154</v>
      </c>
      <c r="C102" s="4" t="s">
        <v>3</v>
      </c>
      <c r="D102" s="4" t="s">
        <v>150</v>
      </c>
      <c r="E102" s="4" t="s">
        <v>142</v>
      </c>
      <c r="K102" s="14"/>
    </row>
    <row r="103" spans="1:11" ht="14.4">
      <c r="A103" s="4" t="s">
        <v>146</v>
      </c>
      <c r="B103" s="4" t="s">
        <v>155</v>
      </c>
      <c r="C103" s="4" t="s">
        <v>3</v>
      </c>
      <c r="D103" s="4" t="s">
        <v>150</v>
      </c>
      <c r="K103" s="14"/>
    </row>
    <row r="104" spans="1:11" ht="14.4">
      <c r="A104" s="6" t="s">
        <v>167</v>
      </c>
      <c r="B104" s="4" t="s">
        <v>15</v>
      </c>
      <c r="C104" s="4" t="s">
        <v>3</v>
      </c>
      <c r="D104" s="6" t="s">
        <v>6</v>
      </c>
      <c r="E104" s="30" t="s">
        <v>429</v>
      </c>
      <c r="K104" s="14"/>
    </row>
    <row r="105" spans="1:11" ht="14.4">
      <c r="A105" s="6" t="s">
        <v>181</v>
      </c>
      <c r="B105" s="6" t="s">
        <v>176</v>
      </c>
      <c r="C105" s="4" t="s">
        <v>3</v>
      </c>
      <c r="D105" s="6" t="s">
        <v>182</v>
      </c>
      <c r="K105" s="14"/>
    </row>
    <row r="106" spans="1:11" ht="14.4">
      <c r="A106" s="6" t="s">
        <v>189</v>
      </c>
      <c r="B106" s="6" t="s">
        <v>176</v>
      </c>
      <c r="C106" s="4" t="s">
        <v>3</v>
      </c>
      <c r="D106" s="6" t="s">
        <v>6</v>
      </c>
    </row>
    <row r="107" spans="1:11" ht="14.4">
      <c r="A107" s="7" t="s">
        <v>190</v>
      </c>
      <c r="B107" s="6" t="s">
        <v>185</v>
      </c>
      <c r="C107" s="4" t="s">
        <v>3</v>
      </c>
      <c r="D107" s="6" t="s">
        <v>6</v>
      </c>
    </row>
    <row r="108" spans="1:11" ht="14.4">
      <c r="A108" s="6" t="s">
        <v>191</v>
      </c>
      <c r="B108" s="6" t="s">
        <v>179</v>
      </c>
      <c r="C108" s="4" t="s">
        <v>3</v>
      </c>
      <c r="D108" s="6" t="s">
        <v>6</v>
      </c>
    </row>
    <row r="109" spans="1:11" ht="14.4">
      <c r="A109" s="4" t="s">
        <v>196</v>
      </c>
      <c r="B109" s="6" t="s">
        <v>185</v>
      </c>
      <c r="C109" s="4" t="s">
        <v>3</v>
      </c>
      <c r="D109" s="6" t="s">
        <v>6</v>
      </c>
    </row>
    <row r="110" spans="1:11" ht="14.4">
      <c r="A110" s="4" t="s">
        <v>202</v>
      </c>
      <c r="B110" s="4" t="s">
        <v>15</v>
      </c>
      <c r="C110" s="4" t="s">
        <v>3</v>
      </c>
      <c r="D110" s="6" t="s">
        <v>6</v>
      </c>
    </row>
    <row r="111" spans="1:11" ht="14.4">
      <c r="A111" s="4" t="s">
        <v>213</v>
      </c>
      <c r="B111" s="6" t="s">
        <v>179</v>
      </c>
      <c r="C111" s="4" t="s">
        <v>3</v>
      </c>
      <c r="D111" s="6" t="s">
        <v>6</v>
      </c>
    </row>
    <row r="112" spans="1:11" ht="14.4">
      <c r="A112" s="4" t="s">
        <v>215</v>
      </c>
      <c r="B112" s="6" t="s">
        <v>176</v>
      </c>
      <c r="C112" s="4" t="s">
        <v>3</v>
      </c>
      <c r="D112" s="6" t="s">
        <v>6</v>
      </c>
    </row>
    <row r="113" spans="1:5" ht="14.4">
      <c r="A113" s="6" t="s">
        <v>219</v>
      </c>
      <c r="B113" s="6" t="s">
        <v>179</v>
      </c>
      <c r="C113" s="4" t="s">
        <v>3</v>
      </c>
      <c r="D113" s="6" t="s">
        <v>6</v>
      </c>
      <c r="E113" s="4" t="s">
        <v>60</v>
      </c>
    </row>
    <row r="114" spans="1:5" ht="14.4">
      <c r="A114" s="6" t="s">
        <v>224</v>
      </c>
      <c r="B114" s="6" t="s">
        <v>185</v>
      </c>
      <c r="C114" s="4" t="s">
        <v>3</v>
      </c>
      <c r="D114" s="6" t="s">
        <v>6</v>
      </c>
    </row>
    <row r="115" spans="1:5" ht="14.4">
      <c r="A115" s="6" t="s">
        <v>225</v>
      </c>
      <c r="B115" s="6" t="s">
        <v>179</v>
      </c>
      <c r="C115" s="4" t="s">
        <v>3</v>
      </c>
      <c r="D115" s="6" t="s">
        <v>6</v>
      </c>
    </row>
    <row r="116" spans="1:5" ht="14.4">
      <c r="A116" s="6" t="s">
        <v>252</v>
      </c>
      <c r="B116" s="6" t="s">
        <v>179</v>
      </c>
      <c r="C116" s="4" t="s">
        <v>3</v>
      </c>
      <c r="D116" s="6" t="s">
        <v>6</v>
      </c>
      <c r="E116" s="4" t="s">
        <v>60</v>
      </c>
    </row>
    <row r="117" spans="1:5" ht="14.4">
      <c r="A117" s="4" t="s">
        <v>233</v>
      </c>
      <c r="B117" s="6" t="s">
        <v>176</v>
      </c>
      <c r="C117" s="4" t="s">
        <v>3</v>
      </c>
      <c r="D117" s="6" t="s">
        <v>6</v>
      </c>
    </row>
    <row r="118" spans="1:5" ht="14.4">
      <c r="A118" s="4" t="s">
        <v>234</v>
      </c>
      <c r="B118" s="4" t="s">
        <v>15</v>
      </c>
      <c r="C118" s="4" t="s">
        <v>3</v>
      </c>
      <c r="D118" s="6" t="s">
        <v>6</v>
      </c>
    </row>
    <row r="119" spans="1:5" ht="14.4">
      <c r="A119" s="6" t="s">
        <v>235</v>
      </c>
      <c r="B119" s="6" t="s">
        <v>179</v>
      </c>
      <c r="C119" s="4" t="s">
        <v>3</v>
      </c>
      <c r="D119" s="6" t="s">
        <v>6</v>
      </c>
      <c r="E119" s="4" t="s">
        <v>236</v>
      </c>
    </row>
    <row r="120" spans="1:5" ht="14.4">
      <c r="A120" s="4" t="s">
        <v>238</v>
      </c>
      <c r="B120" s="6" t="s">
        <v>176</v>
      </c>
      <c r="C120" s="4" t="s">
        <v>3</v>
      </c>
      <c r="D120" s="6" t="s">
        <v>6</v>
      </c>
    </row>
    <row r="121" spans="1:5" ht="14.4">
      <c r="A121" s="4" t="s">
        <v>239</v>
      </c>
      <c r="B121" s="6" t="s">
        <v>176</v>
      </c>
      <c r="C121" s="4" t="s">
        <v>3</v>
      </c>
      <c r="D121" s="6" t="s">
        <v>6</v>
      </c>
    </row>
    <row r="122" spans="1:5" ht="14.4">
      <c r="A122" s="6" t="s">
        <v>251</v>
      </c>
      <c r="B122" s="6" t="s">
        <v>179</v>
      </c>
      <c r="C122" s="4" t="s">
        <v>3</v>
      </c>
      <c r="D122" s="6" t="s">
        <v>6</v>
      </c>
    </row>
    <row r="123" spans="1:5" ht="14.4">
      <c r="A123" s="4" t="s">
        <v>261</v>
      </c>
      <c r="B123" s="6" t="s">
        <v>185</v>
      </c>
      <c r="C123" s="4" t="s">
        <v>3</v>
      </c>
      <c r="D123" s="6" t="s">
        <v>6</v>
      </c>
    </row>
    <row r="124" spans="1:5" ht="14.4">
      <c r="A124" s="6" t="s">
        <v>273</v>
      </c>
      <c r="B124" s="6" t="s">
        <v>176</v>
      </c>
      <c r="C124" s="4" t="s">
        <v>3</v>
      </c>
      <c r="D124" s="6" t="s">
        <v>275</v>
      </c>
      <c r="E124" s="4" t="s">
        <v>142</v>
      </c>
    </row>
    <row r="125" spans="1:5" ht="14.4">
      <c r="A125" s="6" t="s">
        <v>276</v>
      </c>
      <c r="B125" s="6" t="s">
        <v>176</v>
      </c>
      <c r="C125" s="4" t="s">
        <v>3</v>
      </c>
      <c r="D125" s="6" t="s">
        <v>6</v>
      </c>
    </row>
    <row r="126" spans="1:5" ht="14.4">
      <c r="A126" s="4" t="s">
        <v>202</v>
      </c>
      <c r="B126" s="6" t="s">
        <v>176</v>
      </c>
      <c r="C126" s="4" t="s">
        <v>3</v>
      </c>
      <c r="D126" s="6" t="s">
        <v>6</v>
      </c>
    </row>
    <row r="127" spans="1:5" ht="14.4">
      <c r="A127" s="4" t="s">
        <v>281</v>
      </c>
      <c r="B127" s="4" t="s">
        <v>15</v>
      </c>
      <c r="C127" s="4" t="s">
        <v>3</v>
      </c>
      <c r="D127" s="6" t="s">
        <v>226</v>
      </c>
    </row>
    <row r="128" spans="1:5" ht="14.4">
      <c r="A128" s="6" t="s">
        <v>282</v>
      </c>
      <c r="B128" s="6" t="s">
        <v>185</v>
      </c>
      <c r="C128" s="4" t="s">
        <v>3</v>
      </c>
      <c r="D128" s="6" t="s">
        <v>6</v>
      </c>
    </row>
    <row r="129" spans="1:5" ht="14.4">
      <c r="A129" s="6" t="s">
        <v>285</v>
      </c>
      <c r="B129" s="4" t="s">
        <v>15</v>
      </c>
      <c r="C129" s="4" t="s">
        <v>3</v>
      </c>
      <c r="D129" s="6" t="s">
        <v>6</v>
      </c>
    </row>
    <row r="130" spans="1:5" ht="14.4">
      <c r="A130" s="4" t="s">
        <v>294</v>
      </c>
      <c r="B130" s="4" t="s">
        <v>15</v>
      </c>
      <c r="C130" s="4" t="s">
        <v>3</v>
      </c>
      <c r="D130" s="6" t="s">
        <v>6</v>
      </c>
    </row>
    <row r="131" spans="1:5" ht="15">
      <c r="A131" s="1" t="s">
        <v>56</v>
      </c>
      <c r="B131" s="1" t="s">
        <v>85</v>
      </c>
      <c r="C131" s="1" t="s">
        <v>20</v>
      </c>
      <c r="D131" s="1" t="s">
        <v>15</v>
      </c>
      <c r="E131" s="1"/>
    </row>
    <row r="132" spans="1:5" ht="15">
      <c r="A132" s="1" t="s">
        <v>137</v>
      </c>
      <c r="B132" s="1" t="s">
        <v>73</v>
      </c>
      <c r="C132" s="1" t="s">
        <v>20</v>
      </c>
      <c r="D132" s="1" t="s">
        <v>72</v>
      </c>
      <c r="E132" s="1"/>
    </row>
    <row r="133" spans="1:5" ht="15">
      <c r="A133" s="1" t="s">
        <v>101</v>
      </c>
      <c r="B133" s="1" t="s">
        <v>73</v>
      </c>
      <c r="C133" s="1" t="s">
        <v>20</v>
      </c>
      <c r="D133" s="1" t="s">
        <v>72</v>
      </c>
      <c r="E133" s="1"/>
    </row>
    <row r="134" spans="1:5" ht="15">
      <c r="A134" s="1" t="s">
        <v>24</v>
      </c>
      <c r="B134" s="1" t="s">
        <v>73</v>
      </c>
      <c r="C134" s="1" t="s">
        <v>20</v>
      </c>
      <c r="D134" s="1" t="s">
        <v>72</v>
      </c>
      <c r="E134" s="1"/>
    </row>
    <row r="135" spans="1:5" ht="15">
      <c r="A135" s="1" t="s">
        <v>102</v>
      </c>
      <c r="B135" s="1" t="s">
        <v>73</v>
      </c>
      <c r="C135" s="1" t="s">
        <v>20</v>
      </c>
      <c r="D135" s="1" t="s">
        <v>72</v>
      </c>
      <c r="E135" s="1"/>
    </row>
    <row r="136" spans="1:5" ht="15">
      <c r="A136" s="1" t="s">
        <v>30</v>
      </c>
      <c r="B136" s="1" t="s">
        <v>73</v>
      </c>
      <c r="C136" s="1" t="s">
        <v>20</v>
      </c>
      <c r="D136" s="1" t="s">
        <v>72</v>
      </c>
      <c r="E136" s="1"/>
    </row>
    <row r="137" spans="1:5" ht="15">
      <c r="A137" s="1" t="s">
        <v>138</v>
      </c>
      <c r="B137" s="1" t="s">
        <v>73</v>
      </c>
      <c r="C137" s="1" t="s">
        <v>20</v>
      </c>
      <c r="D137" s="1" t="s">
        <v>72</v>
      </c>
      <c r="E137" s="1"/>
    </row>
    <row r="138" spans="1:5" ht="15">
      <c r="A138" s="1" t="s">
        <v>57</v>
      </c>
      <c r="B138" s="1" t="s">
        <v>73</v>
      </c>
      <c r="C138" s="1" t="s">
        <v>20</v>
      </c>
      <c r="D138" s="1" t="s">
        <v>79</v>
      </c>
      <c r="E138" s="1"/>
    </row>
    <row r="139" spans="1:5" ht="15">
      <c r="A139" s="1" t="s">
        <v>21</v>
      </c>
      <c r="B139" s="1" t="s">
        <v>15</v>
      </c>
      <c r="C139" s="1" t="s">
        <v>20</v>
      </c>
      <c r="D139" s="1" t="s">
        <v>72</v>
      </c>
      <c r="E139" s="1"/>
    </row>
    <row r="140" spans="1:5">
      <c r="A140" s="1" t="s">
        <v>40</v>
      </c>
      <c r="B140" s="1" t="s">
        <v>15</v>
      </c>
      <c r="C140" s="1" t="s">
        <v>20</v>
      </c>
      <c r="D140" s="1" t="s">
        <v>15</v>
      </c>
      <c r="E140" s="1"/>
    </row>
    <row r="141" spans="1:5" ht="15">
      <c r="A141" s="1" t="s">
        <v>103</v>
      </c>
      <c r="B141" s="1" t="s">
        <v>71</v>
      </c>
      <c r="C141" s="1" t="s">
        <v>20</v>
      </c>
      <c r="D141" s="1" t="s">
        <v>72</v>
      </c>
      <c r="E141" s="1"/>
    </row>
    <row r="142" spans="1:5" ht="15">
      <c r="A142" s="1" t="s">
        <v>139</v>
      </c>
      <c r="B142" s="1" t="s">
        <v>73</v>
      </c>
      <c r="C142" s="1" t="s">
        <v>20</v>
      </c>
      <c r="D142" s="1" t="s">
        <v>104</v>
      </c>
      <c r="E142" s="1" t="s">
        <v>60</v>
      </c>
    </row>
    <row r="143" spans="1:5" ht="15">
      <c r="A143" s="1" t="s">
        <v>105</v>
      </c>
      <c r="B143" s="1" t="s">
        <v>15</v>
      </c>
      <c r="C143" s="1" t="s">
        <v>20</v>
      </c>
      <c r="D143" s="1" t="s">
        <v>72</v>
      </c>
    </row>
    <row r="144" spans="1:5" ht="14.4">
      <c r="A144" s="4" t="s">
        <v>183</v>
      </c>
      <c r="B144" s="6" t="s">
        <v>176</v>
      </c>
      <c r="C144" s="4" t="s">
        <v>20</v>
      </c>
      <c r="D144" s="6" t="s">
        <v>176</v>
      </c>
    </row>
    <row r="145" spans="1:5" ht="14.4">
      <c r="A145" s="4" t="s">
        <v>230</v>
      </c>
      <c r="B145" s="6" t="s">
        <v>179</v>
      </c>
      <c r="C145" s="4" t="s">
        <v>20</v>
      </c>
      <c r="D145" s="6" t="s">
        <v>6</v>
      </c>
    </row>
    <row r="146" spans="1:5" ht="14.4">
      <c r="A146" s="4" t="s">
        <v>241</v>
      </c>
      <c r="B146" s="6" t="s">
        <v>179</v>
      </c>
      <c r="C146" s="4" t="s">
        <v>20</v>
      </c>
      <c r="D146" s="6" t="s">
        <v>6</v>
      </c>
    </row>
    <row r="147" spans="1:5" ht="14.4">
      <c r="A147" s="6" t="s">
        <v>245</v>
      </c>
      <c r="B147" s="6" t="s">
        <v>176</v>
      </c>
      <c r="C147" s="4" t="s">
        <v>20</v>
      </c>
      <c r="D147" s="6" t="s">
        <v>6</v>
      </c>
    </row>
    <row r="148" spans="1:5" ht="14.4">
      <c r="A148" s="4" t="s">
        <v>246</v>
      </c>
      <c r="B148" s="4" t="s">
        <v>15</v>
      </c>
      <c r="C148" s="4" t="s">
        <v>20</v>
      </c>
      <c r="D148" s="6" t="s">
        <v>6</v>
      </c>
    </row>
    <row r="149" spans="1:5" ht="14.4">
      <c r="A149" s="4" t="s">
        <v>249</v>
      </c>
      <c r="B149" s="6" t="s">
        <v>179</v>
      </c>
      <c r="C149" s="4" t="s">
        <v>20</v>
      </c>
      <c r="D149" s="6" t="s">
        <v>250</v>
      </c>
    </row>
    <row r="150" spans="1:5" ht="14.4">
      <c r="A150" s="6" t="s">
        <v>262</v>
      </c>
      <c r="B150" s="6" t="s">
        <v>179</v>
      </c>
      <c r="C150" s="4" t="s">
        <v>20</v>
      </c>
      <c r="D150" s="6" t="s">
        <v>6</v>
      </c>
      <c r="E150" s="6" t="s">
        <v>263</v>
      </c>
    </row>
    <row r="151" spans="1:5" ht="15">
      <c r="A151" s="1" t="s">
        <v>49</v>
      </c>
      <c r="B151" s="1" t="s">
        <v>73</v>
      </c>
      <c r="C151" s="1" t="s">
        <v>48</v>
      </c>
      <c r="D151" s="1" t="s">
        <v>71</v>
      </c>
      <c r="E151" s="1"/>
    </row>
    <row r="152" spans="1:5" ht="15">
      <c r="A152" s="1" t="s">
        <v>106</v>
      </c>
      <c r="B152" s="1" t="s">
        <v>71</v>
      </c>
      <c r="C152" s="1" t="s">
        <v>48</v>
      </c>
      <c r="D152" s="1" t="s">
        <v>72</v>
      </c>
      <c r="E152" s="1"/>
    </row>
    <row r="153" spans="1:5" ht="14.4">
      <c r="A153" s="4" t="s">
        <v>145</v>
      </c>
      <c r="B153" s="4" t="s">
        <v>15</v>
      </c>
      <c r="C153" s="4" t="s">
        <v>48</v>
      </c>
      <c r="D153" s="4" t="s">
        <v>150</v>
      </c>
    </row>
    <row r="154" spans="1:5" ht="15">
      <c r="A154" s="1" t="s">
        <v>107</v>
      </c>
      <c r="B154" s="1" t="s">
        <v>73</v>
      </c>
      <c r="C154" s="1" t="s">
        <v>22</v>
      </c>
      <c r="D154" s="1" t="s">
        <v>72</v>
      </c>
      <c r="E154" s="1"/>
    </row>
    <row r="155" spans="1:5" ht="14.4">
      <c r="A155" s="4" t="s">
        <v>10</v>
      </c>
      <c r="B155" s="6" t="s">
        <v>179</v>
      </c>
      <c r="C155" s="4" t="s">
        <v>22</v>
      </c>
      <c r="D155" s="6" t="s">
        <v>6</v>
      </c>
    </row>
    <row r="156" spans="1:5" ht="14.4">
      <c r="A156" s="4" t="s">
        <v>280</v>
      </c>
      <c r="B156" s="4" t="s">
        <v>15</v>
      </c>
      <c r="C156" s="4" t="s">
        <v>22</v>
      </c>
      <c r="D156" s="6" t="s">
        <v>250</v>
      </c>
    </row>
    <row r="157" spans="1:5" ht="15">
      <c r="A157" s="1" t="s">
        <v>108</v>
      </c>
      <c r="B157" s="1" t="s">
        <v>73</v>
      </c>
      <c r="C157" s="1" t="s">
        <v>9</v>
      </c>
      <c r="D157" s="1" t="s">
        <v>72</v>
      </c>
      <c r="E157" s="1"/>
    </row>
    <row r="158" spans="1:5">
      <c r="A158" s="1" t="s">
        <v>14</v>
      </c>
      <c r="B158" s="1" t="s">
        <v>15</v>
      </c>
      <c r="C158" s="1" t="s">
        <v>16</v>
      </c>
      <c r="D158" s="1" t="s">
        <v>15</v>
      </c>
      <c r="E158" s="32" t="s">
        <v>409</v>
      </c>
    </row>
    <row r="159" spans="1:5" ht="15">
      <c r="A159" s="1" t="s">
        <v>109</v>
      </c>
      <c r="B159" s="1" t="s">
        <v>71</v>
      </c>
      <c r="C159" s="1" t="s">
        <v>9</v>
      </c>
      <c r="D159" s="1" t="s">
        <v>72</v>
      </c>
      <c r="E159" s="1"/>
    </row>
    <row r="160" spans="1:5" ht="15">
      <c r="A160" s="1" t="s">
        <v>46</v>
      </c>
      <c r="B160" s="1" t="s">
        <v>15</v>
      </c>
      <c r="C160" s="1" t="s">
        <v>9</v>
      </c>
      <c r="D160" s="1" t="s">
        <v>79</v>
      </c>
      <c r="E160" s="1"/>
    </row>
    <row r="161" spans="1:5" ht="15">
      <c r="A161" s="1" t="s">
        <v>64</v>
      </c>
      <c r="B161" s="1" t="s">
        <v>71</v>
      </c>
      <c r="C161" s="1" t="s">
        <v>9</v>
      </c>
      <c r="D161" s="1" t="s">
        <v>72</v>
      </c>
      <c r="E161" s="1"/>
    </row>
    <row r="162" spans="1:5" ht="14.4">
      <c r="A162" s="4" t="s">
        <v>209</v>
      </c>
      <c r="B162" s="6" t="s">
        <v>185</v>
      </c>
      <c r="C162" s="4" t="s">
        <v>9</v>
      </c>
      <c r="D162" s="6" t="s">
        <v>210</v>
      </c>
      <c r="E162" s="4" t="s">
        <v>142</v>
      </c>
    </row>
    <row r="163" spans="1:5" ht="14.4">
      <c r="A163" s="4" t="s">
        <v>269</v>
      </c>
      <c r="B163" s="6" t="s">
        <v>179</v>
      </c>
      <c r="C163" s="4" t="s">
        <v>9</v>
      </c>
      <c r="D163" s="6" t="s">
        <v>6</v>
      </c>
    </row>
    <row r="164" spans="1:5" ht="14.4">
      <c r="A164" s="7" t="s">
        <v>301</v>
      </c>
      <c r="B164" s="6" t="s">
        <v>179</v>
      </c>
      <c r="C164" s="4" t="s">
        <v>9</v>
      </c>
      <c r="D164" s="6" t="s">
        <v>6</v>
      </c>
    </row>
    <row r="165" spans="1:5" ht="14.4">
      <c r="A165" s="6" t="s">
        <v>217</v>
      </c>
      <c r="B165" s="6" t="s">
        <v>185</v>
      </c>
      <c r="C165" s="4" t="s">
        <v>67</v>
      </c>
      <c r="D165" s="6" t="s">
        <v>6</v>
      </c>
    </row>
    <row r="166" spans="1:5" ht="14.4">
      <c r="A166" s="4">
        <v>2892835486</v>
      </c>
      <c r="B166" s="6" t="s">
        <v>179</v>
      </c>
      <c r="C166" s="4" t="s">
        <v>67</v>
      </c>
      <c r="D166" s="4" t="s">
        <v>150</v>
      </c>
      <c r="E166" s="4" t="s">
        <v>248</v>
      </c>
    </row>
    <row r="167" spans="1:5" ht="14.4">
      <c r="A167" s="6" t="s">
        <v>258</v>
      </c>
      <c r="B167" s="6" t="s">
        <v>185</v>
      </c>
      <c r="C167" s="4" t="s">
        <v>67</v>
      </c>
      <c r="D167" s="6" t="s">
        <v>6</v>
      </c>
      <c r="E167" s="4" t="s">
        <v>60</v>
      </c>
    </row>
    <row r="168" spans="1:5" ht="14.4">
      <c r="A168" s="6" t="s">
        <v>299</v>
      </c>
      <c r="B168" s="6" t="s">
        <v>179</v>
      </c>
      <c r="C168" s="4" t="s">
        <v>67</v>
      </c>
      <c r="D168" s="6" t="s">
        <v>6</v>
      </c>
      <c r="E168" s="30" t="s">
        <v>527</v>
      </c>
    </row>
    <row r="169" spans="1:5" ht="14.4" customHeight="1">
      <c r="A169" s="18" t="s">
        <v>302</v>
      </c>
      <c r="B169" s="6" t="s">
        <v>185</v>
      </c>
      <c r="C169" s="4" t="s">
        <v>67</v>
      </c>
      <c r="D169" s="6" t="s">
        <v>6</v>
      </c>
    </row>
    <row r="170" spans="1:5" ht="15">
      <c r="A170" s="1" t="s">
        <v>110</v>
      </c>
      <c r="B170" s="1" t="s">
        <v>85</v>
      </c>
      <c r="C170" s="1" t="s">
        <v>11</v>
      </c>
      <c r="D170" s="1" t="s">
        <v>72</v>
      </c>
      <c r="E170" s="1" t="s">
        <v>584</v>
      </c>
    </row>
    <row r="171" spans="1:5" ht="15">
      <c r="A171" s="1" t="s">
        <v>10</v>
      </c>
      <c r="B171" s="1" t="s">
        <v>73</v>
      </c>
      <c r="C171" s="1" t="s">
        <v>11</v>
      </c>
      <c r="D171" s="1" t="s">
        <v>72</v>
      </c>
      <c r="E171" s="1"/>
    </row>
    <row r="172" spans="1:5" ht="15">
      <c r="A172" s="1" t="s">
        <v>54</v>
      </c>
      <c r="B172" s="1" t="s">
        <v>73</v>
      </c>
      <c r="C172" s="1" t="s">
        <v>11</v>
      </c>
      <c r="D172" s="1" t="s">
        <v>72</v>
      </c>
      <c r="E172" s="1" t="s">
        <v>111</v>
      </c>
    </row>
    <row r="173" spans="1:5" ht="14.4">
      <c r="A173" s="7" t="s">
        <v>195</v>
      </c>
      <c r="B173" s="4" t="s">
        <v>15</v>
      </c>
      <c r="C173" s="4" t="s">
        <v>11</v>
      </c>
      <c r="D173" s="6" t="s">
        <v>6</v>
      </c>
    </row>
    <row r="174" spans="1:5" ht="14.4">
      <c r="A174" s="6" t="s">
        <v>204</v>
      </c>
      <c r="B174" s="6" t="s">
        <v>179</v>
      </c>
      <c r="C174" s="4" t="s">
        <v>11</v>
      </c>
      <c r="D174" s="6" t="s">
        <v>6</v>
      </c>
    </row>
    <row r="175" spans="1:5" ht="14.4">
      <c r="A175" s="4" t="s">
        <v>212</v>
      </c>
      <c r="B175" s="6" t="s">
        <v>179</v>
      </c>
      <c r="C175" s="4" t="s">
        <v>11</v>
      </c>
      <c r="D175" s="6" t="s">
        <v>6</v>
      </c>
    </row>
    <row r="176" spans="1:5" ht="14.4">
      <c r="A176" s="4" t="s">
        <v>264</v>
      </c>
      <c r="B176" s="6" t="s">
        <v>179</v>
      </c>
      <c r="C176" s="4" t="s">
        <v>11</v>
      </c>
      <c r="D176" s="6" t="s">
        <v>6</v>
      </c>
    </row>
    <row r="177" spans="1:5" ht="15">
      <c r="A177" s="1" t="s">
        <v>112</v>
      </c>
      <c r="B177" s="1" t="s">
        <v>73</v>
      </c>
      <c r="C177" s="1" t="s">
        <v>18</v>
      </c>
      <c r="D177" s="1" t="s">
        <v>72</v>
      </c>
      <c r="E177" s="1"/>
    </row>
    <row r="178" spans="1:5">
      <c r="A178" s="1" t="s">
        <v>19</v>
      </c>
      <c r="B178" s="1" t="s">
        <v>15</v>
      </c>
      <c r="C178" s="1" t="s">
        <v>18</v>
      </c>
      <c r="D178" s="1" t="s">
        <v>15</v>
      </c>
      <c r="E178" s="1"/>
    </row>
    <row r="179" spans="1:5" ht="15">
      <c r="A179" s="1" t="s">
        <v>113</v>
      </c>
      <c r="B179" s="1" t="s">
        <v>73</v>
      </c>
      <c r="C179" s="1" t="s">
        <v>18</v>
      </c>
      <c r="D179" s="1" t="s">
        <v>79</v>
      </c>
      <c r="E179" s="1"/>
    </row>
    <row r="180" spans="1:5" ht="15" customHeight="1">
      <c r="A180" s="4" t="s">
        <v>141</v>
      </c>
      <c r="B180" s="4" t="s">
        <v>15</v>
      </c>
      <c r="C180" s="4" t="s">
        <v>18</v>
      </c>
      <c r="D180" s="4" t="s">
        <v>150</v>
      </c>
      <c r="E180" s="30" t="s">
        <v>562</v>
      </c>
    </row>
    <row r="181" spans="1:5" ht="14.4" customHeight="1">
      <c r="A181" s="4" t="s">
        <v>206</v>
      </c>
      <c r="B181" s="6" t="s">
        <v>176</v>
      </c>
      <c r="C181" s="4" t="s">
        <v>18</v>
      </c>
      <c r="D181" s="6" t="s">
        <v>205</v>
      </c>
    </row>
    <row r="182" spans="1:5" ht="15">
      <c r="A182" s="1" t="s">
        <v>114</v>
      </c>
      <c r="B182" s="1" t="s">
        <v>85</v>
      </c>
      <c r="C182" s="1" t="s">
        <v>2</v>
      </c>
      <c r="D182" s="1" t="s">
        <v>72</v>
      </c>
      <c r="E182" s="1"/>
    </row>
    <row r="183" spans="1:5" ht="15">
      <c r="A183" s="1" t="s">
        <v>115</v>
      </c>
      <c r="B183" s="1" t="s">
        <v>85</v>
      </c>
      <c r="C183" s="1" t="s">
        <v>2</v>
      </c>
      <c r="D183" s="1" t="s">
        <v>15</v>
      </c>
      <c r="E183" s="1"/>
    </row>
    <row r="184" spans="1:5" ht="15">
      <c r="A184" s="1" t="s">
        <v>116</v>
      </c>
      <c r="B184" s="1" t="s">
        <v>73</v>
      </c>
      <c r="C184" s="1" t="s">
        <v>2</v>
      </c>
      <c r="D184" s="1" t="s">
        <v>79</v>
      </c>
      <c r="E184" s="1"/>
    </row>
    <row r="185" spans="1:5" ht="13.8" customHeight="1">
      <c r="A185" s="1" t="s">
        <v>117</v>
      </c>
      <c r="B185" s="1" t="s">
        <v>73</v>
      </c>
      <c r="C185" s="1" t="s">
        <v>2</v>
      </c>
      <c r="D185" s="19" t="s">
        <v>6</v>
      </c>
      <c r="E185" s="1"/>
    </row>
    <row r="186" spans="1:5" ht="15">
      <c r="A186" s="1" t="s">
        <v>50</v>
      </c>
      <c r="B186" s="1" t="s">
        <v>15</v>
      </c>
      <c r="C186" s="1" t="s">
        <v>2</v>
      </c>
      <c r="D186" s="1" t="s">
        <v>72</v>
      </c>
      <c r="E186" s="1"/>
    </row>
    <row r="187" spans="1:5" ht="14.4">
      <c r="A187" s="7" t="s">
        <v>175</v>
      </c>
      <c r="B187" s="6" t="s">
        <v>176</v>
      </c>
      <c r="C187" s="4" t="s">
        <v>2</v>
      </c>
      <c r="D187" s="6" t="s">
        <v>6</v>
      </c>
    </row>
    <row r="188" spans="1:5" ht="14.4" customHeight="1">
      <c r="A188" s="6" t="s">
        <v>184</v>
      </c>
      <c r="B188" s="6" t="s">
        <v>185</v>
      </c>
      <c r="C188" s="4" t="s">
        <v>2</v>
      </c>
      <c r="D188" s="6" t="s">
        <v>6</v>
      </c>
    </row>
    <row r="189" spans="1:5" ht="13.8" customHeight="1">
      <c r="A189" s="7" t="s">
        <v>186</v>
      </c>
      <c r="B189" s="6" t="s">
        <v>185</v>
      </c>
      <c r="C189" s="4" t="s">
        <v>2</v>
      </c>
      <c r="D189" s="6" t="s">
        <v>6</v>
      </c>
    </row>
    <row r="190" spans="1:5" ht="14.4">
      <c r="A190" s="7" t="s">
        <v>194</v>
      </c>
      <c r="B190" s="6" t="s">
        <v>176</v>
      </c>
      <c r="C190" s="4" t="s">
        <v>2</v>
      </c>
      <c r="D190" s="6" t="s">
        <v>6</v>
      </c>
    </row>
    <row r="191" spans="1:5" ht="14.4">
      <c r="A191" s="6" t="s">
        <v>216</v>
      </c>
      <c r="B191" s="6" t="s">
        <v>179</v>
      </c>
      <c r="C191" s="4" t="s">
        <v>2</v>
      </c>
      <c r="D191" s="6" t="s">
        <v>6</v>
      </c>
    </row>
    <row r="192" spans="1:5" ht="14.4">
      <c r="A192" s="4" t="s">
        <v>218</v>
      </c>
      <c r="B192" s="6" t="s">
        <v>179</v>
      </c>
      <c r="C192" s="4" t="s">
        <v>2</v>
      </c>
      <c r="D192" s="6" t="s">
        <v>6</v>
      </c>
    </row>
    <row r="193" spans="1:5">
      <c r="A193" s="4" t="s">
        <v>240</v>
      </c>
      <c r="B193" s="4" t="s">
        <v>15</v>
      </c>
      <c r="C193" s="4" t="s">
        <v>2</v>
      </c>
      <c r="D193" s="4" t="s">
        <v>226</v>
      </c>
    </row>
    <row r="194" spans="1:5" ht="14.4">
      <c r="A194" s="4" t="s">
        <v>259</v>
      </c>
      <c r="B194" s="6" t="s">
        <v>176</v>
      </c>
      <c r="C194" s="4" t="s">
        <v>2</v>
      </c>
      <c r="D194" s="6" t="s">
        <v>6</v>
      </c>
    </row>
    <row r="195" spans="1:5" ht="14.4">
      <c r="A195" s="6" t="s">
        <v>272</v>
      </c>
      <c r="B195" s="6" t="s">
        <v>176</v>
      </c>
      <c r="C195" s="4" t="s">
        <v>2</v>
      </c>
      <c r="D195" s="6" t="s">
        <v>6</v>
      </c>
      <c r="E195" s="4" t="s">
        <v>60</v>
      </c>
    </row>
    <row r="196" spans="1:5" ht="15.6" customHeight="1">
      <c r="A196" s="4" t="s">
        <v>277</v>
      </c>
      <c r="B196" s="6" t="s">
        <v>176</v>
      </c>
      <c r="C196" s="4" t="s">
        <v>2</v>
      </c>
      <c r="D196" s="6" t="s">
        <v>6</v>
      </c>
    </row>
    <row r="197" spans="1:5" ht="14.4" customHeight="1">
      <c r="A197" s="6" t="s">
        <v>284</v>
      </c>
      <c r="B197" s="6" t="s">
        <v>179</v>
      </c>
      <c r="C197" s="4" t="s">
        <v>2</v>
      </c>
      <c r="D197" s="6" t="s">
        <v>6</v>
      </c>
      <c r="E197" s="4" t="s">
        <v>293</v>
      </c>
    </row>
    <row r="198" spans="1:5" ht="15">
      <c r="A198" s="1" t="s">
        <v>31</v>
      </c>
      <c r="B198" s="1" t="s">
        <v>73</v>
      </c>
      <c r="C198" s="1" t="s">
        <v>28</v>
      </c>
      <c r="D198" s="1" t="s">
        <v>79</v>
      </c>
      <c r="E198" s="1"/>
    </row>
    <row r="199" spans="1:5" ht="15">
      <c r="A199" s="1" t="s">
        <v>118</v>
      </c>
      <c r="B199" s="1" t="s">
        <v>73</v>
      </c>
      <c r="C199" s="1" t="s">
        <v>28</v>
      </c>
      <c r="D199" s="1" t="s">
        <v>72</v>
      </c>
      <c r="E199" s="1"/>
    </row>
    <row r="200" spans="1:5" ht="26.4">
      <c r="A200" s="1" t="s">
        <v>65</v>
      </c>
      <c r="B200" s="1" t="s">
        <v>73</v>
      </c>
      <c r="C200" s="1" t="s">
        <v>28</v>
      </c>
      <c r="D200" s="1" t="s">
        <v>72</v>
      </c>
      <c r="E200" s="1" t="s">
        <v>594</v>
      </c>
    </row>
    <row r="201" spans="1:5" ht="14.4" customHeight="1">
      <c r="A201" s="1" t="s">
        <v>119</v>
      </c>
      <c r="B201" s="1" t="s">
        <v>71</v>
      </c>
      <c r="C201" s="1" t="s">
        <v>28</v>
      </c>
      <c r="D201" s="1" t="s">
        <v>72</v>
      </c>
      <c r="E201" s="1"/>
    </row>
    <row r="202" spans="1:5" ht="15">
      <c r="A202" s="1" t="s">
        <v>71</v>
      </c>
      <c r="B202" s="1" t="s">
        <v>71</v>
      </c>
      <c r="C202" s="1" t="s">
        <v>28</v>
      </c>
      <c r="D202" s="1" t="s">
        <v>71</v>
      </c>
      <c r="E202" s="1"/>
    </row>
    <row r="203" spans="1:5" ht="14.4">
      <c r="A203" s="4" t="s">
        <v>203</v>
      </c>
      <c r="B203" s="6" t="s">
        <v>185</v>
      </c>
      <c r="C203" s="4" t="s">
        <v>28</v>
      </c>
      <c r="D203" s="6" t="s">
        <v>6</v>
      </c>
    </row>
    <row r="204" spans="1:5" ht="14.4" customHeight="1">
      <c r="A204" s="4" t="s">
        <v>221</v>
      </c>
      <c r="B204" s="6" t="s">
        <v>179</v>
      </c>
      <c r="C204" s="4" t="s">
        <v>28</v>
      </c>
      <c r="D204" s="6" t="s">
        <v>6</v>
      </c>
    </row>
    <row r="205" spans="1:5" ht="14.4" customHeight="1">
      <c r="A205" s="18" t="s">
        <v>223</v>
      </c>
      <c r="B205" s="6" t="s">
        <v>179</v>
      </c>
      <c r="C205" s="4" t="s">
        <v>28</v>
      </c>
      <c r="D205" s="6" t="s">
        <v>6</v>
      </c>
    </row>
    <row r="206" spans="1:5" ht="14.4">
      <c r="A206" s="6" t="s">
        <v>266</v>
      </c>
      <c r="B206" s="6" t="s">
        <v>179</v>
      </c>
      <c r="C206" s="4" t="s">
        <v>28</v>
      </c>
      <c r="D206" s="6" t="s">
        <v>6</v>
      </c>
      <c r="E206" s="6" t="s">
        <v>267</v>
      </c>
    </row>
    <row r="207" spans="1:5" ht="14.4">
      <c r="A207" s="6" t="s">
        <v>274</v>
      </c>
      <c r="B207" s="4" t="s">
        <v>15</v>
      </c>
      <c r="C207" s="4" t="s">
        <v>28</v>
      </c>
      <c r="D207" s="6" t="s">
        <v>6</v>
      </c>
    </row>
    <row r="208" spans="1:5" ht="15.6" customHeight="1">
      <c r="A208" s="4" t="s">
        <v>300</v>
      </c>
      <c r="B208" s="6" t="s">
        <v>179</v>
      </c>
      <c r="C208" s="4" t="s">
        <v>28</v>
      </c>
      <c r="D208" s="6" t="s">
        <v>6</v>
      </c>
    </row>
    <row r="209" spans="1:5" ht="14.4">
      <c r="A209" s="6" t="s">
        <v>303</v>
      </c>
      <c r="B209" s="6" t="s">
        <v>179</v>
      </c>
      <c r="C209" s="4" t="s">
        <v>48</v>
      </c>
      <c r="D209" s="6" t="s">
        <v>6</v>
      </c>
    </row>
    <row r="210" spans="1:5" ht="14.4">
      <c r="A210" s="4" t="s">
        <v>304</v>
      </c>
      <c r="B210" s="6" t="s">
        <v>176</v>
      </c>
      <c r="C210" s="4" t="s">
        <v>26</v>
      </c>
      <c r="D210" s="6" t="s">
        <v>6</v>
      </c>
      <c r="E210" s="4" t="s">
        <v>142</v>
      </c>
    </row>
    <row r="211" spans="1:5" ht="14.4">
      <c r="A211" s="7" t="s">
        <v>305</v>
      </c>
      <c r="B211" s="6" t="s">
        <v>179</v>
      </c>
      <c r="C211" s="4" t="s">
        <v>13</v>
      </c>
      <c r="D211" s="6" t="s">
        <v>6</v>
      </c>
      <c r="E211" s="4" t="s">
        <v>142</v>
      </c>
    </row>
    <row r="212" spans="1:5" ht="14.4">
      <c r="A212" s="7" t="s">
        <v>306</v>
      </c>
      <c r="B212" s="6" t="s">
        <v>179</v>
      </c>
      <c r="C212" s="4" t="s">
        <v>4</v>
      </c>
      <c r="D212" s="6" t="s">
        <v>6</v>
      </c>
    </row>
    <row r="213" spans="1:5" ht="14.4">
      <c r="A213" s="4" t="s">
        <v>307</v>
      </c>
      <c r="B213" s="6" t="s">
        <v>179</v>
      </c>
      <c r="C213" s="4" t="s">
        <v>26</v>
      </c>
      <c r="D213" s="6" t="s">
        <v>6</v>
      </c>
    </row>
    <row r="214" spans="1:5" ht="14.4">
      <c r="A214" s="7" t="s">
        <v>342</v>
      </c>
      <c r="B214" s="6" t="s">
        <v>179</v>
      </c>
      <c r="C214" s="4" t="s">
        <v>4</v>
      </c>
      <c r="D214" s="6" t="s">
        <v>6</v>
      </c>
    </row>
    <row r="215" spans="1:5" ht="14.4">
      <c r="A215" s="7" t="s">
        <v>343</v>
      </c>
      <c r="B215" s="6" t="s">
        <v>179</v>
      </c>
      <c r="C215" s="4" t="s">
        <v>3</v>
      </c>
      <c r="D215" s="6" t="s">
        <v>6</v>
      </c>
    </row>
    <row r="216" spans="1:5" ht="14.4">
      <c r="A216" s="6" t="s">
        <v>344</v>
      </c>
      <c r="B216" s="6" t="s">
        <v>179</v>
      </c>
      <c r="C216" s="4" t="s">
        <v>22</v>
      </c>
      <c r="D216" s="6" t="s">
        <v>6</v>
      </c>
    </row>
    <row r="217" spans="1:5" ht="14.4">
      <c r="A217" s="4" t="s">
        <v>345</v>
      </c>
      <c r="B217" s="6" t="s">
        <v>179</v>
      </c>
      <c r="C217" s="4" t="s">
        <v>13</v>
      </c>
      <c r="D217" s="6" t="s">
        <v>6</v>
      </c>
    </row>
    <row r="218" spans="1:5" ht="14.4">
      <c r="A218" s="4" t="s">
        <v>346</v>
      </c>
      <c r="B218" s="6" t="s">
        <v>179</v>
      </c>
      <c r="C218" s="4" t="s">
        <v>9</v>
      </c>
      <c r="D218" s="6" t="s">
        <v>6</v>
      </c>
      <c r="E218" s="30" t="s">
        <v>407</v>
      </c>
    </row>
    <row r="219" spans="1:5" ht="14.4">
      <c r="A219" s="4" t="s">
        <v>347</v>
      </c>
      <c r="B219" s="6" t="s">
        <v>179</v>
      </c>
      <c r="C219" s="4" t="s">
        <v>22</v>
      </c>
      <c r="D219" s="6" t="s">
        <v>6</v>
      </c>
    </row>
    <row r="220" spans="1:5" ht="14.4">
      <c r="A220" s="7" t="s">
        <v>348</v>
      </c>
      <c r="B220" s="6" t="s">
        <v>185</v>
      </c>
      <c r="C220" s="4" t="s">
        <v>3</v>
      </c>
      <c r="D220" s="6" t="s">
        <v>6</v>
      </c>
    </row>
    <row r="221" spans="1:5" ht="14.4">
      <c r="A221" s="7" t="s">
        <v>349</v>
      </c>
      <c r="B221" s="6" t="s">
        <v>179</v>
      </c>
      <c r="C221" s="4" t="s">
        <v>17</v>
      </c>
      <c r="D221" s="6" t="s">
        <v>6</v>
      </c>
    </row>
    <row r="222" spans="1:5" ht="14.4">
      <c r="A222" s="4" t="s">
        <v>351</v>
      </c>
      <c r="B222" s="6" t="s">
        <v>185</v>
      </c>
      <c r="C222" s="4" t="s">
        <v>2</v>
      </c>
      <c r="D222" s="6" t="s">
        <v>176</v>
      </c>
    </row>
    <row r="223" spans="1:5" ht="14.4">
      <c r="A223" s="4" t="s">
        <v>352</v>
      </c>
      <c r="B223" s="4" t="s">
        <v>15</v>
      </c>
      <c r="C223" s="4" t="s">
        <v>7</v>
      </c>
      <c r="D223" s="6" t="s">
        <v>6</v>
      </c>
      <c r="E223" s="4" t="s">
        <v>60</v>
      </c>
    </row>
    <row r="224" spans="1:5" ht="14.4">
      <c r="A224" s="4" t="s">
        <v>353</v>
      </c>
      <c r="B224" s="4" t="s">
        <v>15</v>
      </c>
      <c r="C224" s="4" t="s">
        <v>44</v>
      </c>
      <c r="D224" s="6" t="s">
        <v>6</v>
      </c>
    </row>
    <row r="225" spans="1:6" ht="18">
      <c r="A225" s="4" t="s">
        <v>354</v>
      </c>
      <c r="B225" s="4" t="s">
        <v>15</v>
      </c>
      <c r="C225" s="4" t="s">
        <v>13</v>
      </c>
      <c r="D225" s="6" t="s">
        <v>205</v>
      </c>
    </row>
    <row r="226" spans="1:6" ht="18">
      <c r="A226" s="4" t="s">
        <v>358</v>
      </c>
      <c r="B226" s="6" t="s">
        <v>176</v>
      </c>
      <c r="C226" s="4" t="s">
        <v>17</v>
      </c>
      <c r="D226" s="6" t="s">
        <v>205</v>
      </c>
    </row>
    <row r="227" spans="1:6" ht="14.4">
      <c r="A227" s="6" t="s">
        <v>355</v>
      </c>
      <c r="B227" s="4" t="s">
        <v>15</v>
      </c>
      <c r="C227" s="4" t="s">
        <v>11</v>
      </c>
      <c r="D227" s="6" t="s">
        <v>6</v>
      </c>
    </row>
    <row r="228" spans="1:6" ht="14.4">
      <c r="A228" s="4" t="s">
        <v>356</v>
      </c>
      <c r="B228" s="4" t="s">
        <v>15</v>
      </c>
      <c r="C228" s="4" t="s">
        <v>11</v>
      </c>
      <c r="D228" s="6" t="s">
        <v>6</v>
      </c>
    </row>
    <row r="229" spans="1:6" ht="14.4">
      <c r="A229" s="6" t="s">
        <v>357</v>
      </c>
      <c r="B229" s="6" t="s">
        <v>176</v>
      </c>
      <c r="C229" s="4" t="s">
        <v>17</v>
      </c>
      <c r="D229" s="6" t="s">
        <v>6</v>
      </c>
    </row>
    <row r="230" spans="1:6" ht="14.4">
      <c r="A230" s="4" t="s">
        <v>359</v>
      </c>
      <c r="B230" s="6" t="s">
        <v>185</v>
      </c>
      <c r="C230" s="4" t="s">
        <v>17</v>
      </c>
      <c r="D230" s="6" t="s">
        <v>176</v>
      </c>
    </row>
    <row r="231" spans="1:6" ht="14.4">
      <c r="A231" s="6" t="s">
        <v>360</v>
      </c>
      <c r="B231" s="6" t="s">
        <v>179</v>
      </c>
      <c r="C231" s="4" t="s">
        <v>17</v>
      </c>
      <c r="D231" s="6" t="s">
        <v>6</v>
      </c>
      <c r="E231" s="30" t="s">
        <v>400</v>
      </c>
      <c r="F231" s="30" t="s">
        <v>401</v>
      </c>
    </row>
    <row r="232" spans="1:6" ht="14.4">
      <c r="A232" s="4" t="s">
        <v>361</v>
      </c>
      <c r="B232" s="6" t="s">
        <v>179</v>
      </c>
      <c r="C232" s="4" t="s">
        <v>20</v>
      </c>
      <c r="D232" s="6" t="s">
        <v>6</v>
      </c>
    </row>
    <row r="233" spans="1:6" ht="14.4">
      <c r="A233" s="4" t="s">
        <v>362</v>
      </c>
      <c r="B233" s="6" t="s">
        <v>179</v>
      </c>
      <c r="C233" s="4" t="s">
        <v>26</v>
      </c>
      <c r="D233" s="6" t="s">
        <v>6</v>
      </c>
    </row>
    <row r="234" spans="1:6" ht="14.4">
      <c r="A234" s="7" t="s">
        <v>365</v>
      </c>
      <c r="B234" s="4" t="s">
        <v>15</v>
      </c>
      <c r="C234" s="4" t="s">
        <v>3</v>
      </c>
      <c r="D234" s="6" t="s">
        <v>6</v>
      </c>
    </row>
    <row r="235" spans="1:6" ht="14.4">
      <c r="A235" s="4" t="s">
        <v>363</v>
      </c>
      <c r="B235" s="6" t="s">
        <v>179</v>
      </c>
      <c r="C235" s="4" t="s">
        <v>3</v>
      </c>
      <c r="D235" s="6" t="s">
        <v>6</v>
      </c>
    </row>
    <row r="236" spans="1:6" ht="14.4">
      <c r="A236" s="4" t="s">
        <v>364</v>
      </c>
      <c r="B236" s="6" t="s">
        <v>179</v>
      </c>
      <c r="C236" s="4" t="s">
        <v>2</v>
      </c>
      <c r="D236" s="6" t="s">
        <v>6</v>
      </c>
    </row>
    <row r="237" spans="1:6" ht="14.4">
      <c r="A237" s="6" t="s">
        <v>366</v>
      </c>
      <c r="B237" s="6" t="s">
        <v>176</v>
      </c>
      <c r="C237" s="4" t="s">
        <v>3</v>
      </c>
      <c r="D237" s="6" t="s">
        <v>6</v>
      </c>
    </row>
    <row r="238" spans="1:6" ht="14.4">
      <c r="A238" s="4" t="s">
        <v>367</v>
      </c>
      <c r="B238" s="6" t="s">
        <v>179</v>
      </c>
      <c r="C238" s="4" t="s">
        <v>26</v>
      </c>
      <c r="D238" s="6" t="s">
        <v>6</v>
      </c>
    </row>
    <row r="239" spans="1:6" ht="15.6">
      <c r="A239" s="7" t="s">
        <v>368</v>
      </c>
      <c r="B239" s="6" t="s">
        <v>185</v>
      </c>
      <c r="C239" s="4" t="s">
        <v>44</v>
      </c>
      <c r="D239" s="6" t="s">
        <v>6</v>
      </c>
      <c r="E239" s="4" t="s">
        <v>369</v>
      </c>
    </row>
    <row r="240" spans="1:6" ht="14.4">
      <c r="A240" s="4" t="s">
        <v>370</v>
      </c>
      <c r="B240" s="6" t="s">
        <v>185</v>
      </c>
      <c r="C240" s="4" t="s">
        <v>9</v>
      </c>
      <c r="D240" s="6" t="s">
        <v>6</v>
      </c>
    </row>
    <row r="241" spans="1:5" ht="14.4">
      <c r="A241" s="6" t="s">
        <v>371</v>
      </c>
      <c r="B241" s="6" t="s">
        <v>176</v>
      </c>
      <c r="C241" s="4" t="s">
        <v>3</v>
      </c>
      <c r="D241" s="6" t="s">
        <v>6</v>
      </c>
    </row>
    <row r="242" spans="1:5" ht="14.4">
      <c r="A242" s="4" t="s">
        <v>387</v>
      </c>
      <c r="B242" s="6" t="s">
        <v>179</v>
      </c>
      <c r="C242" s="4" t="s">
        <v>3</v>
      </c>
      <c r="D242" s="6" t="s">
        <v>6</v>
      </c>
    </row>
    <row r="243" spans="1:5" ht="14.4">
      <c r="A243" s="4" t="s">
        <v>372</v>
      </c>
      <c r="B243" s="6" t="s">
        <v>185</v>
      </c>
      <c r="C243" s="4" t="s">
        <v>2</v>
      </c>
      <c r="D243" s="6" t="s">
        <v>6</v>
      </c>
    </row>
    <row r="244" spans="1:5" ht="14.4">
      <c r="A244" s="6" t="s">
        <v>373</v>
      </c>
      <c r="B244" s="6" t="s">
        <v>185</v>
      </c>
      <c r="C244" s="4" t="s">
        <v>48</v>
      </c>
      <c r="D244" s="6" t="s">
        <v>6</v>
      </c>
    </row>
    <row r="245" spans="1:5" ht="14.4">
      <c r="A245" s="6" t="s">
        <v>374</v>
      </c>
      <c r="B245" s="6" t="s">
        <v>185</v>
      </c>
      <c r="C245" s="4" t="s">
        <v>2</v>
      </c>
      <c r="D245" s="6" t="s">
        <v>6</v>
      </c>
    </row>
    <row r="246" spans="1:5" ht="14.4">
      <c r="A246" s="4" t="s">
        <v>375</v>
      </c>
      <c r="B246" s="6" t="s">
        <v>185</v>
      </c>
      <c r="C246" s="4" t="s">
        <v>26</v>
      </c>
      <c r="D246" s="6" t="s">
        <v>6</v>
      </c>
    </row>
    <row r="247" spans="1:5" ht="14.4">
      <c r="A247" s="4" t="s">
        <v>376</v>
      </c>
      <c r="B247" s="6" t="s">
        <v>185</v>
      </c>
      <c r="C247" s="4" t="s">
        <v>9</v>
      </c>
      <c r="D247" s="6" t="s">
        <v>6</v>
      </c>
    </row>
    <row r="248" spans="1:5" ht="14.4">
      <c r="A248" s="4" t="s">
        <v>58</v>
      </c>
      <c r="B248" s="6" t="s">
        <v>176</v>
      </c>
      <c r="C248" s="4" t="s">
        <v>3</v>
      </c>
      <c r="D248" s="6" t="s">
        <v>6</v>
      </c>
    </row>
    <row r="249" spans="1:5" ht="14.4">
      <c r="A249" s="4" t="s">
        <v>378</v>
      </c>
      <c r="B249" s="6" t="s">
        <v>176</v>
      </c>
      <c r="C249" s="4" t="s">
        <v>22</v>
      </c>
      <c r="D249" s="6" t="s">
        <v>377</v>
      </c>
    </row>
    <row r="250" spans="1:5" ht="14.4">
      <c r="A250" s="4" t="s">
        <v>379</v>
      </c>
      <c r="B250" s="6" t="s">
        <v>176</v>
      </c>
      <c r="C250" s="4" t="s">
        <v>20</v>
      </c>
      <c r="D250" s="6" t="s">
        <v>6</v>
      </c>
    </row>
    <row r="251" spans="1:5" ht="14.4">
      <c r="A251" s="4" t="s">
        <v>382</v>
      </c>
      <c r="B251" s="6" t="s">
        <v>176</v>
      </c>
      <c r="C251" s="4" t="s">
        <v>13</v>
      </c>
      <c r="D251" s="6" t="s">
        <v>6</v>
      </c>
    </row>
    <row r="252" spans="1:5" ht="15.6">
      <c r="A252" s="18" t="s">
        <v>383</v>
      </c>
      <c r="B252" s="6" t="s">
        <v>185</v>
      </c>
      <c r="C252" s="4" t="s">
        <v>17</v>
      </c>
      <c r="D252" s="6" t="s">
        <v>6</v>
      </c>
      <c r="E252" s="6" t="s">
        <v>384</v>
      </c>
    </row>
    <row r="253" spans="1:5" ht="14.4">
      <c r="A253" s="4" t="s">
        <v>385</v>
      </c>
      <c r="B253" s="6" t="s">
        <v>179</v>
      </c>
      <c r="C253" s="4" t="s">
        <v>28</v>
      </c>
      <c r="D253" s="6" t="s">
        <v>6</v>
      </c>
      <c r="E253" s="6" t="s">
        <v>386</v>
      </c>
    </row>
    <row r="254" spans="1:5" ht="14.4">
      <c r="A254" s="6" t="s">
        <v>388</v>
      </c>
      <c r="B254" s="6" t="s">
        <v>185</v>
      </c>
      <c r="C254" s="4" t="s">
        <v>20</v>
      </c>
      <c r="D254" s="6" t="s">
        <v>6</v>
      </c>
    </row>
    <row r="255" spans="1:5" ht="15.6">
      <c r="A255" s="29" t="s">
        <v>390</v>
      </c>
      <c r="B255" s="6" t="s">
        <v>179</v>
      </c>
      <c r="C255" s="4" t="s">
        <v>4</v>
      </c>
      <c r="D255" s="6" t="s">
        <v>6</v>
      </c>
    </row>
    <row r="256" spans="1:5" ht="14.4">
      <c r="A256" s="4" t="s">
        <v>391</v>
      </c>
      <c r="B256" s="6" t="s">
        <v>176</v>
      </c>
      <c r="C256" s="4" t="s">
        <v>2</v>
      </c>
      <c r="D256" s="6" t="s">
        <v>6</v>
      </c>
      <c r="E256" s="6" t="s">
        <v>392</v>
      </c>
    </row>
    <row r="257" spans="1:5">
      <c r="A257" s="4" t="s">
        <v>393</v>
      </c>
      <c r="B257" s="30" t="s">
        <v>176</v>
      </c>
      <c r="C257" s="4" t="s">
        <v>20</v>
      </c>
      <c r="D257" s="30" t="s">
        <v>6</v>
      </c>
    </row>
    <row r="258" spans="1:5">
      <c r="A258" s="7" t="s">
        <v>394</v>
      </c>
      <c r="B258" s="30" t="s">
        <v>185</v>
      </c>
      <c r="C258" s="4" t="s">
        <v>7</v>
      </c>
      <c r="D258" s="30" t="s">
        <v>6</v>
      </c>
      <c r="E258" s="7" t="s">
        <v>395</v>
      </c>
    </row>
    <row r="259" spans="1:5">
      <c r="A259" s="4" t="s">
        <v>396</v>
      </c>
      <c r="B259" s="30" t="s">
        <v>185</v>
      </c>
      <c r="C259" s="4" t="s">
        <v>17</v>
      </c>
      <c r="D259" s="30" t="s">
        <v>6</v>
      </c>
      <c r="E259" s="7" t="s">
        <v>397</v>
      </c>
    </row>
    <row r="260" spans="1:5" ht="15.6">
      <c r="A260" s="31" t="s">
        <v>398</v>
      </c>
      <c r="B260" s="30" t="s">
        <v>185</v>
      </c>
      <c r="C260" s="4" t="s">
        <v>2</v>
      </c>
      <c r="D260" s="30" t="s">
        <v>6</v>
      </c>
    </row>
    <row r="261" spans="1:5">
      <c r="A261" s="4" t="s">
        <v>403</v>
      </c>
      <c r="B261" s="4" t="s">
        <v>15</v>
      </c>
      <c r="C261" s="4" t="s">
        <v>20</v>
      </c>
      <c r="D261" s="30" t="s">
        <v>275</v>
      </c>
    </row>
    <row r="262" spans="1:5" ht="15.6">
      <c r="A262" s="7" t="s">
        <v>404</v>
      </c>
      <c r="B262" s="4" t="s">
        <v>15</v>
      </c>
      <c r="C262" s="4" t="s">
        <v>3</v>
      </c>
      <c r="D262" s="30" t="s">
        <v>6</v>
      </c>
    </row>
    <row r="263" spans="1:5">
      <c r="A263" s="4" t="s">
        <v>405</v>
      </c>
      <c r="B263" s="30" t="s">
        <v>179</v>
      </c>
      <c r="C263" s="4" t="s">
        <v>44</v>
      </c>
      <c r="D263" s="30" t="s">
        <v>6</v>
      </c>
    </row>
    <row r="264" spans="1:5">
      <c r="A264" s="30" t="s">
        <v>406</v>
      </c>
      <c r="B264" s="30" t="s">
        <v>179</v>
      </c>
      <c r="C264" s="4" t="s">
        <v>28</v>
      </c>
      <c r="D264" s="30" t="s">
        <v>6</v>
      </c>
    </row>
    <row r="265" spans="1:5">
      <c r="A265" s="30" t="s">
        <v>410</v>
      </c>
      <c r="B265" s="30" t="s">
        <v>413</v>
      </c>
      <c r="C265" s="4" t="s">
        <v>18</v>
      </c>
      <c r="D265" s="30" t="s">
        <v>416</v>
      </c>
      <c r="E265" s="7" t="s">
        <v>411</v>
      </c>
    </row>
    <row r="266" spans="1:5">
      <c r="A266" s="7" t="s">
        <v>414</v>
      </c>
      <c r="B266" s="30" t="s">
        <v>413</v>
      </c>
      <c r="C266" s="4" t="s">
        <v>415</v>
      </c>
      <c r="D266" s="30" t="s">
        <v>412</v>
      </c>
      <c r="E266" s="4" t="s">
        <v>408</v>
      </c>
    </row>
    <row r="267" spans="1:5">
      <c r="A267" s="4" t="s">
        <v>417</v>
      </c>
      <c r="B267" s="4" t="s">
        <v>419</v>
      </c>
      <c r="C267" s="4" t="s">
        <v>418</v>
      </c>
      <c r="D267" s="30" t="s">
        <v>420</v>
      </c>
    </row>
    <row r="268" spans="1:5">
      <c r="A268" s="33" t="s">
        <v>421</v>
      </c>
      <c r="B268" s="30" t="s">
        <v>422</v>
      </c>
      <c r="C268" s="4" t="s">
        <v>423</v>
      </c>
      <c r="D268" s="30" t="s">
        <v>424</v>
      </c>
    </row>
    <row r="269" spans="1:5">
      <c r="A269" s="7" t="s">
        <v>425</v>
      </c>
      <c r="B269" s="30" t="s">
        <v>428</v>
      </c>
      <c r="C269" s="4" t="s">
        <v>426</v>
      </c>
      <c r="D269" s="30" t="s">
        <v>427</v>
      </c>
    </row>
    <row r="270" spans="1:5">
      <c r="A270" s="4" t="s">
        <v>430</v>
      </c>
      <c r="B270" s="4" t="s">
        <v>431</v>
      </c>
      <c r="C270" s="4" t="s">
        <v>433</v>
      </c>
      <c r="D270" s="30" t="s">
        <v>432</v>
      </c>
    </row>
    <row r="271" spans="1:5" ht="18">
      <c r="A271" s="4" t="s">
        <v>436</v>
      </c>
      <c r="B271" s="30" t="s">
        <v>435</v>
      </c>
      <c r="C271" s="4" t="s">
        <v>434</v>
      </c>
      <c r="D271" s="30" t="s">
        <v>432</v>
      </c>
    </row>
    <row r="272" spans="1:5">
      <c r="A272" s="4" t="s">
        <v>437</v>
      </c>
      <c r="B272" s="4" t="s">
        <v>431</v>
      </c>
      <c r="C272" s="4" t="s">
        <v>439</v>
      </c>
      <c r="D272" s="30" t="s">
        <v>440</v>
      </c>
      <c r="E272" s="4" t="s">
        <v>438</v>
      </c>
    </row>
    <row r="273" spans="1:5">
      <c r="A273" s="4" t="s">
        <v>441</v>
      </c>
      <c r="B273" s="30" t="s">
        <v>444</v>
      </c>
      <c r="C273" s="4" t="s">
        <v>442</v>
      </c>
      <c r="D273" s="30" t="s">
        <v>443</v>
      </c>
    </row>
    <row r="274" spans="1:5" ht="15.6">
      <c r="A274" s="31" t="s">
        <v>445</v>
      </c>
      <c r="B274" s="30" t="s">
        <v>447</v>
      </c>
      <c r="C274" s="4" t="s">
        <v>446</v>
      </c>
      <c r="D274" s="30" t="s">
        <v>448</v>
      </c>
    </row>
    <row r="275" spans="1:5">
      <c r="A275" s="4" t="s">
        <v>449</v>
      </c>
      <c r="B275" s="30" t="s">
        <v>453</v>
      </c>
      <c r="C275" s="4" t="s">
        <v>450</v>
      </c>
      <c r="D275" s="30" t="s">
        <v>452</v>
      </c>
      <c r="E275" s="4" t="s">
        <v>451</v>
      </c>
    </row>
    <row r="276" spans="1:5">
      <c r="A276" s="34" t="s">
        <v>454</v>
      </c>
      <c r="B276" s="4" t="s">
        <v>455</v>
      </c>
      <c r="C276" s="4" t="s">
        <v>456</v>
      </c>
      <c r="D276" s="30" t="s">
        <v>455</v>
      </c>
      <c r="E276" s="4" t="s">
        <v>457</v>
      </c>
    </row>
    <row r="277" spans="1:5">
      <c r="A277" s="4" t="s">
        <v>458</v>
      </c>
      <c r="B277" s="4" t="s">
        <v>455</v>
      </c>
      <c r="C277" s="4" t="s">
        <v>450</v>
      </c>
      <c r="D277" s="30" t="s">
        <v>452</v>
      </c>
    </row>
    <row r="278" spans="1:5">
      <c r="A278" s="4" t="s">
        <v>459</v>
      </c>
      <c r="B278" s="30" t="s">
        <v>462</v>
      </c>
      <c r="C278" s="4" t="s">
        <v>460</v>
      </c>
      <c r="D278" s="30" t="s">
        <v>452</v>
      </c>
      <c r="E278" s="4" t="s">
        <v>461</v>
      </c>
    </row>
    <row r="279" spans="1:5">
      <c r="A279" s="4" t="s">
        <v>464</v>
      </c>
      <c r="B279" s="30" t="s">
        <v>455</v>
      </c>
      <c r="C279" s="4" t="s">
        <v>465</v>
      </c>
      <c r="D279" s="30" t="s">
        <v>463</v>
      </c>
    </row>
    <row r="280" spans="1:5" ht="15.6">
      <c r="A280" s="7" t="s">
        <v>466</v>
      </c>
      <c r="B280" s="30" t="s">
        <v>467</v>
      </c>
      <c r="C280" s="4" t="s">
        <v>468</v>
      </c>
      <c r="D280" s="30" t="s">
        <v>469</v>
      </c>
    </row>
    <row r="281" spans="1:5">
      <c r="A281" s="30" t="s">
        <v>470</v>
      </c>
      <c r="B281" s="30" t="s">
        <v>467</v>
      </c>
      <c r="C281" s="4" t="s">
        <v>471</v>
      </c>
      <c r="D281" s="30" t="s">
        <v>469</v>
      </c>
    </row>
    <row r="282" spans="1:5">
      <c r="A282" s="4" t="s">
        <v>472</v>
      </c>
      <c r="B282" s="30" t="s">
        <v>467</v>
      </c>
      <c r="C282" s="4" t="s">
        <v>471</v>
      </c>
      <c r="D282" s="30" t="s">
        <v>469</v>
      </c>
    </row>
    <row r="283" spans="1:5">
      <c r="A283" s="4" t="s">
        <v>473</v>
      </c>
      <c r="B283" s="30" t="s">
        <v>467</v>
      </c>
      <c r="C283" s="4" t="s">
        <v>474</v>
      </c>
      <c r="D283" s="30" t="s">
        <v>469</v>
      </c>
    </row>
    <row r="284" spans="1:5">
      <c r="A284" s="4" t="s">
        <v>475</v>
      </c>
      <c r="B284" s="30" t="s">
        <v>467</v>
      </c>
      <c r="C284" s="4" t="s">
        <v>468</v>
      </c>
      <c r="D284" s="30" t="s">
        <v>469</v>
      </c>
    </row>
    <row r="285" spans="1:5">
      <c r="A285" s="30" t="s">
        <v>478</v>
      </c>
      <c r="B285" s="30" t="s">
        <v>477</v>
      </c>
      <c r="C285" s="4" t="s">
        <v>479</v>
      </c>
      <c r="D285" s="30" t="s">
        <v>476</v>
      </c>
      <c r="E285" s="4" t="s">
        <v>480</v>
      </c>
    </row>
    <row r="286" spans="1:5">
      <c r="A286" s="30" t="s">
        <v>482</v>
      </c>
      <c r="B286" s="30" t="s">
        <v>483</v>
      </c>
      <c r="C286" s="4" t="s">
        <v>481</v>
      </c>
      <c r="D286" s="30" t="s">
        <v>484</v>
      </c>
    </row>
    <row r="287" spans="1:5">
      <c r="A287" s="4" t="s">
        <v>485</v>
      </c>
      <c r="B287" s="30" t="s">
        <v>488</v>
      </c>
      <c r="C287" s="4" t="s">
        <v>486</v>
      </c>
      <c r="D287" s="30" t="s">
        <v>487</v>
      </c>
    </row>
    <row r="288" spans="1:5">
      <c r="A288" s="4" t="s">
        <v>489</v>
      </c>
      <c r="B288" s="30" t="s">
        <v>492</v>
      </c>
      <c r="C288" s="4" t="s">
        <v>490</v>
      </c>
      <c r="D288" s="30" t="s">
        <v>491</v>
      </c>
    </row>
    <row r="289" spans="1:5" ht="15.6">
      <c r="A289" s="31" t="s">
        <v>496</v>
      </c>
      <c r="B289" s="4" t="s">
        <v>494</v>
      </c>
      <c r="C289" s="4" t="s">
        <v>493</v>
      </c>
      <c r="D289" s="30" t="s">
        <v>495</v>
      </c>
    </row>
    <row r="290" spans="1:5">
      <c r="A290" s="4" t="s">
        <v>497</v>
      </c>
      <c r="B290" s="4" t="s">
        <v>498</v>
      </c>
      <c r="C290" s="4" t="s">
        <v>499</v>
      </c>
      <c r="D290" s="30" t="s">
        <v>500</v>
      </c>
    </row>
    <row r="291" spans="1:5">
      <c r="A291" s="4" t="s">
        <v>501</v>
      </c>
      <c r="B291" s="30" t="s">
        <v>506</v>
      </c>
      <c r="C291" s="4" t="s">
        <v>499</v>
      </c>
      <c r="D291" s="30" t="s">
        <v>500</v>
      </c>
    </row>
    <row r="292" spans="1:5">
      <c r="A292" s="4" t="s">
        <v>503</v>
      </c>
      <c r="B292" s="30" t="s">
        <v>502</v>
      </c>
      <c r="C292" s="4" t="s">
        <v>504</v>
      </c>
      <c r="D292" s="30" t="s">
        <v>500</v>
      </c>
    </row>
    <row r="293" spans="1:5">
      <c r="A293" s="34" t="s">
        <v>505</v>
      </c>
      <c r="B293" s="4" t="s">
        <v>498</v>
      </c>
      <c r="C293" s="4" t="s">
        <v>507</v>
      </c>
      <c r="D293" s="30" t="s">
        <v>508</v>
      </c>
    </row>
    <row r="294" spans="1:5" ht="15.6">
      <c r="A294" s="31" t="s">
        <v>511</v>
      </c>
      <c r="B294" s="4" t="s">
        <v>510</v>
      </c>
      <c r="C294" s="4" t="s">
        <v>509</v>
      </c>
      <c r="D294" s="30" t="s">
        <v>514</v>
      </c>
    </row>
    <row r="295" spans="1:5">
      <c r="A295" s="4" t="s">
        <v>515</v>
      </c>
      <c r="B295" s="4" t="s">
        <v>517</v>
      </c>
      <c r="C295" s="4" t="s">
        <v>516</v>
      </c>
      <c r="D295" s="30" t="s">
        <v>514</v>
      </c>
    </row>
    <row r="296" spans="1:5" ht="18">
      <c r="A296" s="35" t="s">
        <v>518</v>
      </c>
      <c r="B296" s="4" t="s">
        <v>517</v>
      </c>
      <c r="C296" s="4" t="s">
        <v>519</v>
      </c>
      <c r="D296" s="30" t="s">
        <v>514</v>
      </c>
    </row>
    <row r="297" spans="1:5">
      <c r="A297" s="7" t="s">
        <v>520</v>
      </c>
      <c r="B297" s="4" t="s">
        <v>517</v>
      </c>
      <c r="C297" s="4" t="s">
        <v>521</v>
      </c>
      <c r="D297" s="30" t="s">
        <v>514</v>
      </c>
    </row>
    <row r="298" spans="1:5" ht="15.6">
      <c r="A298" s="31" t="s">
        <v>522</v>
      </c>
      <c r="B298" s="30" t="s">
        <v>524</v>
      </c>
      <c r="C298" s="4" t="s">
        <v>523</v>
      </c>
      <c r="D298" s="30" t="s">
        <v>525</v>
      </c>
      <c r="E298" s="30" t="s">
        <v>526</v>
      </c>
    </row>
    <row r="299" spans="1:5">
      <c r="A299" s="7" t="s">
        <v>529</v>
      </c>
      <c r="B299" s="30" t="s">
        <v>530</v>
      </c>
      <c r="C299" s="4" t="s">
        <v>528</v>
      </c>
      <c r="D299" s="30" t="s">
        <v>531</v>
      </c>
    </row>
    <row r="300" spans="1:5">
      <c r="A300" s="4" t="s">
        <v>533</v>
      </c>
      <c r="B300" s="30" t="s">
        <v>534</v>
      </c>
      <c r="C300" s="4" t="s">
        <v>532</v>
      </c>
      <c r="D300" s="30" t="s">
        <v>536</v>
      </c>
    </row>
    <row r="301" spans="1:5">
      <c r="A301" s="4" t="s">
        <v>538</v>
      </c>
      <c r="B301" s="30" t="s">
        <v>539</v>
      </c>
      <c r="C301" s="4" t="s">
        <v>537</v>
      </c>
      <c r="D301" s="30" t="s">
        <v>536</v>
      </c>
      <c r="E301" s="4" t="s">
        <v>540</v>
      </c>
    </row>
    <row r="302" spans="1:5">
      <c r="A302" s="7" t="s">
        <v>541</v>
      </c>
      <c r="B302" s="30" t="s">
        <v>539</v>
      </c>
      <c r="C302" s="4" t="s">
        <v>542</v>
      </c>
      <c r="D302" s="30" t="s">
        <v>535</v>
      </c>
      <c r="E302" s="30" t="s">
        <v>543</v>
      </c>
    </row>
    <row r="303" spans="1:5">
      <c r="A303" s="4" t="s">
        <v>544</v>
      </c>
      <c r="B303" s="30" t="s">
        <v>534</v>
      </c>
      <c r="C303" s="4" t="s">
        <v>545</v>
      </c>
      <c r="D303" s="30" t="s">
        <v>536</v>
      </c>
      <c r="E303" s="4" t="s">
        <v>546</v>
      </c>
    </row>
    <row r="304" spans="1:5">
      <c r="A304" s="4" t="s">
        <v>547</v>
      </c>
      <c r="B304" s="30" t="s">
        <v>550</v>
      </c>
      <c r="C304" s="4" t="s">
        <v>548</v>
      </c>
      <c r="D304" s="30" t="s">
        <v>549</v>
      </c>
      <c r="E304" s="4" t="s">
        <v>551</v>
      </c>
    </row>
    <row r="305" spans="1:5">
      <c r="A305" s="4" t="s">
        <v>555</v>
      </c>
      <c r="B305" s="30" t="s">
        <v>559</v>
      </c>
      <c r="C305" s="4" t="s">
        <v>554</v>
      </c>
      <c r="D305" s="30" t="s">
        <v>556</v>
      </c>
    </row>
    <row r="306" spans="1:5" ht="15.6">
      <c r="A306" s="7" t="s">
        <v>552</v>
      </c>
      <c r="B306" s="30" t="s">
        <v>558</v>
      </c>
      <c r="C306" s="4" t="s">
        <v>553</v>
      </c>
      <c r="D306" s="30" t="s">
        <v>556</v>
      </c>
    </row>
    <row r="307" spans="1:5">
      <c r="A307" s="4" t="s">
        <v>557</v>
      </c>
      <c r="B307" s="30" t="s">
        <v>558</v>
      </c>
      <c r="C307" s="4" t="s">
        <v>561</v>
      </c>
      <c r="D307" s="30" t="s">
        <v>556</v>
      </c>
    </row>
    <row r="308" spans="1:5">
      <c r="A308" s="4" t="s">
        <v>560</v>
      </c>
      <c r="B308" s="30" t="s">
        <v>558</v>
      </c>
      <c r="C308" s="4" t="s">
        <v>561</v>
      </c>
      <c r="D308" s="30" t="s">
        <v>556</v>
      </c>
    </row>
    <row r="309" spans="1:5" ht="15.6">
      <c r="A309" s="7" t="s">
        <v>563</v>
      </c>
      <c r="B309" s="30" t="s">
        <v>564</v>
      </c>
      <c r="C309" s="4" t="s">
        <v>565</v>
      </c>
      <c r="D309" s="30" t="s">
        <v>566</v>
      </c>
      <c r="E309" s="30" t="s">
        <v>567</v>
      </c>
    </row>
    <row r="310" spans="1:5">
      <c r="A310" s="4" t="s">
        <v>568</v>
      </c>
      <c r="B310" s="30" t="s">
        <v>569</v>
      </c>
      <c r="C310" s="4" t="s">
        <v>570</v>
      </c>
      <c r="D310" s="30" t="s">
        <v>571</v>
      </c>
    </row>
    <row r="311" spans="1:5">
      <c r="A311" s="4" t="s">
        <v>572</v>
      </c>
      <c r="B311" s="30" t="s">
        <v>575</v>
      </c>
      <c r="C311" s="4" t="s">
        <v>573</v>
      </c>
      <c r="D311" s="30" t="s">
        <v>574</v>
      </c>
    </row>
    <row r="312" spans="1:5">
      <c r="A312" s="4" t="s">
        <v>576</v>
      </c>
      <c r="B312" s="30" t="s">
        <v>179</v>
      </c>
      <c r="C312" s="4" t="s">
        <v>44</v>
      </c>
      <c r="D312" s="30" t="s">
        <v>6</v>
      </c>
      <c r="E312" s="30" t="s">
        <v>577</v>
      </c>
    </row>
    <row r="313" spans="1:5">
      <c r="A313" s="4" t="s">
        <v>578</v>
      </c>
      <c r="B313" s="30" t="s">
        <v>179</v>
      </c>
      <c r="C313" s="4" t="s">
        <v>20</v>
      </c>
      <c r="D313" s="30" t="s">
        <v>6</v>
      </c>
      <c r="E313" s="4" t="s">
        <v>142</v>
      </c>
    </row>
    <row r="314" spans="1:5">
      <c r="A314" s="30" t="s">
        <v>579</v>
      </c>
      <c r="B314" s="30" t="s">
        <v>179</v>
      </c>
      <c r="C314" s="4" t="s">
        <v>26</v>
      </c>
      <c r="D314" s="30" t="s">
        <v>6</v>
      </c>
    </row>
    <row r="315" spans="1:5">
      <c r="A315" s="4" t="s">
        <v>580</v>
      </c>
      <c r="B315" s="30" t="s">
        <v>179</v>
      </c>
      <c r="C315" s="4" t="s">
        <v>22</v>
      </c>
      <c r="D315" s="30" t="s">
        <v>15</v>
      </c>
      <c r="E315" s="4" t="s">
        <v>581</v>
      </c>
    </row>
    <row r="316" spans="1:5" ht="15.6">
      <c r="A316" s="4" t="s">
        <v>582</v>
      </c>
      <c r="B316" s="30" t="s">
        <v>179</v>
      </c>
      <c r="C316" s="4" t="s">
        <v>22</v>
      </c>
      <c r="D316" s="30" t="s">
        <v>6</v>
      </c>
    </row>
    <row r="317" spans="1:5">
      <c r="A317" s="4" t="s">
        <v>583</v>
      </c>
      <c r="B317" s="30" t="s">
        <v>179</v>
      </c>
      <c r="C317" s="4" t="s">
        <v>11</v>
      </c>
      <c r="D317" s="30" t="s">
        <v>6</v>
      </c>
    </row>
    <row r="318" spans="1:5">
      <c r="A318" s="30" t="s">
        <v>585</v>
      </c>
      <c r="B318" s="30" t="s">
        <v>185</v>
      </c>
      <c r="C318" s="4" t="s">
        <v>17</v>
      </c>
      <c r="D318" s="30" t="s">
        <v>6</v>
      </c>
      <c r="E318" s="30" t="s">
        <v>589</v>
      </c>
    </row>
    <row r="319" spans="1:5">
      <c r="A319" s="4" t="s">
        <v>586</v>
      </c>
      <c r="B319" s="30" t="s">
        <v>179</v>
      </c>
      <c r="C319" s="4" t="s">
        <v>17</v>
      </c>
      <c r="D319" s="30" t="s">
        <v>6</v>
      </c>
      <c r="E319" s="30" t="s">
        <v>590</v>
      </c>
    </row>
    <row r="320" spans="1:5">
      <c r="A320" s="4" t="s">
        <v>587</v>
      </c>
      <c r="B320" s="30" t="s">
        <v>179</v>
      </c>
      <c r="C320" s="4" t="s">
        <v>20</v>
      </c>
      <c r="D320" s="30" t="s">
        <v>6</v>
      </c>
    </row>
    <row r="321" spans="1:5">
      <c r="A321" s="7" t="s">
        <v>588</v>
      </c>
      <c r="B321" s="4" t="s">
        <v>15</v>
      </c>
      <c r="C321" s="4" t="s">
        <v>3</v>
      </c>
      <c r="D321" s="30" t="s">
        <v>6</v>
      </c>
    </row>
    <row r="322" spans="1:5">
      <c r="A322" s="7" t="s">
        <v>591</v>
      </c>
      <c r="B322" s="30" t="s">
        <v>179</v>
      </c>
      <c r="C322" s="4" t="s">
        <v>593</v>
      </c>
      <c r="D322" s="30" t="s">
        <v>6</v>
      </c>
      <c r="E322" s="30" t="s">
        <v>592</v>
      </c>
    </row>
  </sheetData>
  <autoFilter ref="C2:C57" xr:uid="{00000000-0001-0000-0000-000000000000}">
    <filterColumn colId="0">
      <colorFilter dxfId="0"/>
    </filterColumn>
  </autoFilter>
  <sortState xmlns:xlrd2="http://schemas.microsoft.com/office/spreadsheetml/2017/richdata2" ref="AD2:AE5">
    <sortCondition ref="AD2:AD5"/>
  </sortState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S27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杨昊川</dc:creator>
  <cp:lastModifiedBy>川 杨昊</cp:lastModifiedBy>
  <dcterms:created xsi:type="dcterms:W3CDTF">2015-06-05T18:19:34Z</dcterms:created>
  <dcterms:modified xsi:type="dcterms:W3CDTF">2025-04-21T11:15:01Z</dcterms:modified>
</cp:coreProperties>
</file>